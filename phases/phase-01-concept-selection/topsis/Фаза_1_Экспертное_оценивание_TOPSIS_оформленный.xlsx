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30720" windowHeight="13692" activeTab="1"/>
  </bookViews>
  <sheets>
    <sheet name="Методика" sheetId="1" r:id="rId1"/>
    <sheet name="Оценки" sheetId="2" r:id="rId2"/>
    <sheet name="Коллективные" sheetId="3" r:id="rId3"/>
    <sheet name="TOPSIS" sheetId="4" r:id="rId4"/>
  </sheets>
  <calcPr calcId="152511"/>
  <fileRecoveryPr repairLoad="1"/>
</workbook>
</file>

<file path=xl/calcChain.xml><?xml version="1.0" encoding="utf-8"?>
<calcChain xmlns="http://schemas.openxmlformats.org/spreadsheetml/2006/main">
  <c r="E20" i="4" l="1"/>
  <c r="E29" i="4" s="1"/>
  <c r="N19" i="4"/>
  <c r="N28" i="4" s="1"/>
  <c r="B19" i="4"/>
  <c r="B28" i="4" s="1"/>
  <c r="D11" i="4"/>
  <c r="B10" i="4"/>
  <c r="D7" i="4"/>
  <c r="B6" i="4"/>
  <c r="V20" i="3"/>
  <c r="U20" i="3"/>
  <c r="Q20" i="3"/>
  <c r="P20" i="3"/>
  <c r="N20" i="4" s="1"/>
  <c r="N29" i="4" s="1"/>
  <c r="O20" i="3"/>
  <c r="N20" i="3"/>
  <c r="J20" i="3"/>
  <c r="I20" i="3"/>
  <c r="E20" i="3"/>
  <c r="D20" i="3"/>
  <c r="C20" i="3"/>
  <c r="B20" i="3"/>
  <c r="S19" i="3"/>
  <c r="R19" i="3"/>
  <c r="N19" i="3"/>
  <c r="M19" i="3"/>
  <c r="M19" i="4" s="1"/>
  <c r="M28" i="4" s="1"/>
  <c r="L19" i="3"/>
  <c r="L19" i="4" s="1"/>
  <c r="L28" i="4" s="1"/>
  <c r="K19" i="3"/>
  <c r="G19" i="3"/>
  <c r="F19" i="3"/>
  <c r="B19" i="3"/>
  <c r="V18" i="3"/>
  <c r="U18" i="3"/>
  <c r="T18" i="3"/>
  <c r="P18" i="3"/>
  <c r="O18" i="3"/>
  <c r="K18" i="3"/>
  <c r="J18" i="3"/>
  <c r="J18" i="4" s="1"/>
  <c r="J27" i="4" s="1"/>
  <c r="I18" i="3"/>
  <c r="I18" i="4" s="1"/>
  <c r="I27" i="4" s="1"/>
  <c r="H18" i="3"/>
  <c r="D18" i="3"/>
  <c r="C18" i="3"/>
  <c r="T17" i="3"/>
  <c r="S17" i="3"/>
  <c r="R17" i="3"/>
  <c r="Q17" i="3"/>
  <c r="M17" i="3"/>
  <c r="L17" i="3"/>
  <c r="L17" i="4" s="1"/>
  <c r="H17" i="3"/>
  <c r="G17" i="3"/>
  <c r="G17" i="4" s="1"/>
  <c r="G26" i="4" s="1"/>
  <c r="F17" i="3"/>
  <c r="F17" i="4" s="1"/>
  <c r="F26" i="4" s="1"/>
  <c r="E17" i="3"/>
  <c r="D11" i="3"/>
  <c r="B10" i="3"/>
  <c r="D7" i="3"/>
  <c r="C7" i="3"/>
  <c r="C7" i="4" s="1"/>
  <c r="B7" i="3"/>
  <c r="E7" i="3" s="1"/>
  <c r="D5" i="3"/>
  <c r="D5" i="4" s="1"/>
  <c r="B5" i="3"/>
  <c r="B5" i="4" s="1"/>
  <c r="I46" i="2"/>
  <c r="H46" i="2"/>
  <c r="G46" i="2"/>
  <c r="T20" i="3" s="1"/>
  <c r="I45" i="2"/>
  <c r="S20" i="3" s="1"/>
  <c r="H45" i="2"/>
  <c r="R20" i="3" s="1"/>
  <c r="G45" i="2"/>
  <c r="I44" i="2"/>
  <c r="H44" i="2"/>
  <c r="G44" i="2"/>
  <c r="I43" i="2"/>
  <c r="M20" i="3" s="1"/>
  <c r="M20" i="4" s="1"/>
  <c r="H43" i="2"/>
  <c r="L20" i="3" s="1"/>
  <c r="L20" i="4" s="1"/>
  <c r="G43" i="2"/>
  <c r="K20" i="3" s="1"/>
  <c r="K20" i="4" s="1"/>
  <c r="I42" i="2"/>
  <c r="H42" i="2"/>
  <c r="G42" i="2"/>
  <c r="H20" i="3" s="1"/>
  <c r="I41" i="2"/>
  <c r="G20" i="3" s="1"/>
  <c r="H41" i="2"/>
  <c r="F20" i="3" s="1"/>
  <c r="G41" i="2"/>
  <c r="I40" i="2"/>
  <c r="H40" i="2"/>
  <c r="G40" i="2"/>
  <c r="I39" i="2"/>
  <c r="V19" i="3" s="1"/>
  <c r="H39" i="2"/>
  <c r="U19" i="3" s="1"/>
  <c r="G39" i="2"/>
  <c r="T19" i="3" s="1"/>
  <c r="V19" i="4" s="1"/>
  <c r="V28" i="4" s="1"/>
  <c r="I38" i="2"/>
  <c r="H38" i="2"/>
  <c r="G38" i="2"/>
  <c r="Q19" i="3" s="1"/>
  <c r="I37" i="2"/>
  <c r="P19" i="3" s="1"/>
  <c r="H37" i="2"/>
  <c r="O19" i="3" s="1"/>
  <c r="G37" i="2"/>
  <c r="I36" i="2"/>
  <c r="H36" i="2"/>
  <c r="G36" i="2"/>
  <c r="I35" i="2"/>
  <c r="J19" i="3" s="1"/>
  <c r="J19" i="4" s="1"/>
  <c r="J28" i="4" s="1"/>
  <c r="H35" i="2"/>
  <c r="I19" i="3" s="1"/>
  <c r="I19" i="4" s="1"/>
  <c r="I28" i="4" s="1"/>
  <c r="G35" i="2"/>
  <c r="H19" i="3" s="1"/>
  <c r="H19" i="4" s="1"/>
  <c r="I34" i="2"/>
  <c r="H34" i="2"/>
  <c r="G34" i="2"/>
  <c r="E19" i="3" s="1"/>
  <c r="I33" i="2"/>
  <c r="D19" i="3" s="1"/>
  <c r="H33" i="2"/>
  <c r="C19" i="3" s="1"/>
  <c r="G33" i="2"/>
  <c r="I32" i="2"/>
  <c r="H32" i="2"/>
  <c r="G32" i="2"/>
  <c r="I31" i="2"/>
  <c r="S18" i="3" s="1"/>
  <c r="H31" i="2"/>
  <c r="R18" i="3" s="1"/>
  <c r="G31" i="2"/>
  <c r="Q18" i="3" s="1"/>
  <c r="S18" i="4" s="1"/>
  <c r="S27" i="4" s="1"/>
  <c r="I30" i="2"/>
  <c r="H30" i="2"/>
  <c r="G30" i="2"/>
  <c r="N18" i="3" s="1"/>
  <c r="I29" i="2"/>
  <c r="M18" i="3" s="1"/>
  <c r="H29" i="2"/>
  <c r="L18" i="3" s="1"/>
  <c r="L18" i="4" s="1"/>
  <c r="G29" i="2"/>
  <c r="I28" i="2"/>
  <c r="H28" i="2"/>
  <c r="G28" i="2"/>
  <c r="I27" i="2"/>
  <c r="G18" i="3" s="1"/>
  <c r="G18" i="4" s="1"/>
  <c r="G27" i="4" s="1"/>
  <c r="H27" i="2"/>
  <c r="F18" i="3" s="1"/>
  <c r="F18" i="4" s="1"/>
  <c r="G27" i="2"/>
  <c r="E18" i="3" s="1"/>
  <c r="E18" i="4" s="1"/>
  <c r="E27" i="4" s="1"/>
  <c r="I26" i="2"/>
  <c r="H26" i="2"/>
  <c r="G26" i="2"/>
  <c r="B18" i="3" s="1"/>
  <c r="I25" i="2"/>
  <c r="V17" i="3" s="1"/>
  <c r="T17" i="4" s="1"/>
  <c r="H25" i="2"/>
  <c r="U17" i="3" s="1"/>
  <c r="G25" i="2"/>
  <c r="I24" i="2"/>
  <c r="H24" i="2"/>
  <c r="G24" i="2"/>
  <c r="I23" i="2"/>
  <c r="P17" i="3" s="1"/>
  <c r="H23" i="2"/>
  <c r="O17" i="3" s="1"/>
  <c r="G23" i="2"/>
  <c r="N17" i="3" s="1"/>
  <c r="I22" i="2"/>
  <c r="H22" i="2"/>
  <c r="G22" i="2"/>
  <c r="K17" i="3" s="1"/>
  <c r="K17" i="4" s="1"/>
  <c r="I21" i="2"/>
  <c r="J17" i="3" s="1"/>
  <c r="H17" i="4" s="1"/>
  <c r="H21" i="2"/>
  <c r="I17" i="3" s="1"/>
  <c r="I17" i="4" s="1"/>
  <c r="I26" i="4" s="1"/>
  <c r="G21" i="2"/>
  <c r="I20" i="2"/>
  <c r="H20" i="2"/>
  <c r="G20" i="2"/>
  <c r="I19" i="2"/>
  <c r="D17" i="3" s="1"/>
  <c r="H19" i="2"/>
  <c r="C17" i="3" s="1"/>
  <c r="C17" i="4" s="1"/>
  <c r="C26" i="4" s="1"/>
  <c r="G19" i="2"/>
  <c r="B17" i="3" s="1"/>
  <c r="B17" i="4" s="1"/>
  <c r="B26" i="4" s="1"/>
  <c r="I14" i="2"/>
  <c r="H14" i="2"/>
  <c r="C11" i="3" s="1"/>
  <c r="C11" i="4" s="1"/>
  <c r="G14" i="2"/>
  <c r="B11" i="3" s="1"/>
  <c r="I13" i="2"/>
  <c r="D10" i="3" s="1"/>
  <c r="D10" i="4" s="1"/>
  <c r="H13" i="2"/>
  <c r="C10" i="3" s="1"/>
  <c r="C10" i="4" s="1"/>
  <c r="G13" i="2"/>
  <c r="I12" i="2"/>
  <c r="D9" i="3" s="1"/>
  <c r="D9" i="4" s="1"/>
  <c r="H12" i="2"/>
  <c r="C9" i="3" s="1"/>
  <c r="C9" i="4" s="1"/>
  <c r="G12" i="2"/>
  <c r="B9" i="3" s="1"/>
  <c r="B9" i="4" s="1"/>
  <c r="I11" i="2"/>
  <c r="D8" i="3" s="1"/>
  <c r="D8" i="4" s="1"/>
  <c r="H11" i="2"/>
  <c r="C8" i="3" s="1"/>
  <c r="C8" i="4" s="1"/>
  <c r="G11" i="2"/>
  <c r="B8" i="3" s="1"/>
  <c r="I10" i="2"/>
  <c r="H10" i="2"/>
  <c r="G10" i="2"/>
  <c r="I9" i="2"/>
  <c r="D6" i="3" s="1"/>
  <c r="D6" i="4" s="1"/>
  <c r="H9" i="2"/>
  <c r="C6" i="3" s="1"/>
  <c r="C6" i="4" s="1"/>
  <c r="G9" i="2"/>
  <c r="B6" i="3" s="1"/>
  <c r="I8" i="2"/>
  <c r="H8" i="2"/>
  <c r="C5" i="3" s="1"/>
  <c r="C5" i="4" s="1"/>
  <c r="G8" i="2"/>
  <c r="O20" i="4" l="1"/>
  <c r="O29" i="4" s="1"/>
  <c r="D36" i="4"/>
  <c r="O17" i="4"/>
  <c r="O26" i="4" s="1"/>
  <c r="L29" i="4"/>
  <c r="O18" i="4"/>
  <c r="O27" i="4" s="1"/>
  <c r="M29" i="4"/>
  <c r="E6" i="3"/>
  <c r="N18" i="4"/>
  <c r="N27" i="4" s="1"/>
  <c r="Q19" i="4"/>
  <c r="Q28" i="4" s="1"/>
  <c r="T20" i="4"/>
  <c r="T29" i="4" s="1"/>
  <c r="V18" i="4"/>
  <c r="V27" i="4" s="1"/>
  <c r="V17" i="4"/>
  <c r="V26" i="4" s="1"/>
  <c r="B20" i="4"/>
  <c r="B29" i="4" s="1"/>
  <c r="L26" i="4"/>
  <c r="Q20" i="4"/>
  <c r="Q29" i="4" s="1"/>
  <c r="D17" i="4"/>
  <c r="D26" i="4" s="1"/>
  <c r="D18" i="4"/>
  <c r="D27" i="4" s="1"/>
  <c r="Q18" i="4"/>
  <c r="Q27" i="4" s="1"/>
  <c r="U18" i="4"/>
  <c r="U27" i="4" s="1"/>
  <c r="C20" i="4"/>
  <c r="C29" i="4" s="1"/>
  <c r="G35" i="4"/>
  <c r="F35" i="4"/>
  <c r="E35" i="4"/>
  <c r="C45" i="4" s="1"/>
  <c r="R19" i="4"/>
  <c r="R28" i="4" s="1"/>
  <c r="N17" i="4"/>
  <c r="N26" i="4" s="1"/>
  <c r="T19" i="4"/>
  <c r="S17" i="4"/>
  <c r="S26" i="4" s="1"/>
  <c r="S20" i="4"/>
  <c r="S29" i="4" s="1"/>
  <c r="Q17" i="4"/>
  <c r="Q26" i="4" s="1"/>
  <c r="D20" i="4"/>
  <c r="D29" i="4" s="1"/>
  <c r="E8" i="3"/>
  <c r="B8" i="4"/>
  <c r="K29" i="4" s="1"/>
  <c r="P17" i="4"/>
  <c r="P26" i="4" s="1"/>
  <c r="P19" i="4"/>
  <c r="P28" i="4" s="1"/>
  <c r="U19" i="4"/>
  <c r="U28" i="4" s="1"/>
  <c r="U20" i="4"/>
  <c r="U29" i="4" s="1"/>
  <c r="R17" i="4"/>
  <c r="R26" i="4" s="1"/>
  <c r="T18" i="4"/>
  <c r="E9" i="3"/>
  <c r="F27" i="4"/>
  <c r="U17" i="4"/>
  <c r="U26" i="4" s="1"/>
  <c r="C19" i="4"/>
  <c r="C28" i="4" s="1"/>
  <c r="O19" i="4"/>
  <c r="O28" i="4" s="1"/>
  <c r="R20" i="4"/>
  <c r="R29" i="4" s="1"/>
  <c r="E10" i="3"/>
  <c r="C18" i="4"/>
  <c r="C27" i="4" s="1"/>
  <c r="F19" i="4"/>
  <c r="F28" i="4" s="1"/>
  <c r="I20" i="4"/>
  <c r="I29" i="4" s="1"/>
  <c r="R18" i="4"/>
  <c r="R27" i="4" s="1"/>
  <c r="L27" i="4"/>
  <c r="F20" i="4"/>
  <c r="F29" i="4" s="1"/>
  <c r="J17" i="4"/>
  <c r="J26" i="4" s="1"/>
  <c r="J20" i="4"/>
  <c r="J29" i="4" s="1"/>
  <c r="M18" i="4"/>
  <c r="M27" i="4" s="1"/>
  <c r="M17" i="4"/>
  <c r="M26" i="4" s="1"/>
  <c r="D19" i="4"/>
  <c r="D28" i="4" s="1"/>
  <c r="G20" i="4"/>
  <c r="G29" i="4" s="1"/>
  <c r="E11" i="3"/>
  <c r="B11" i="4"/>
  <c r="T26" i="4" s="1"/>
  <c r="B18" i="4"/>
  <c r="B27" i="4" s="1"/>
  <c r="P18" i="4"/>
  <c r="P27" i="4" s="1"/>
  <c r="E19" i="4"/>
  <c r="E28" i="4" s="1"/>
  <c r="S19" i="4"/>
  <c r="S28" i="4" s="1"/>
  <c r="H20" i="4"/>
  <c r="H29" i="4" s="1"/>
  <c r="V20" i="4"/>
  <c r="V29" i="4" s="1"/>
  <c r="E17" i="4"/>
  <c r="E26" i="4" s="1"/>
  <c r="H18" i="4"/>
  <c r="K19" i="4"/>
  <c r="P20" i="4"/>
  <c r="P29" i="4" s="1"/>
  <c r="K18" i="4"/>
  <c r="B7" i="4"/>
  <c r="H26" i="4" s="1"/>
  <c r="E5" i="3"/>
  <c r="G19" i="4"/>
  <c r="G28" i="4" s="1"/>
  <c r="H42" i="4" l="1"/>
  <c r="E45" i="4"/>
  <c r="C43" i="4"/>
  <c r="V35" i="4"/>
  <c r="U35" i="4"/>
  <c r="T35" i="4"/>
  <c r="N43" i="4"/>
  <c r="K26" i="4"/>
  <c r="H28" i="4"/>
  <c r="T27" i="4"/>
  <c r="V36" i="4" s="1"/>
  <c r="G43" i="4"/>
  <c r="K27" i="4"/>
  <c r="S35" i="4"/>
  <c r="R35" i="4"/>
  <c r="Q35" i="4"/>
  <c r="G44" i="4" s="1"/>
  <c r="I35" i="4"/>
  <c r="J35" i="4"/>
  <c r="H35" i="4"/>
  <c r="D45" i="4" s="1"/>
  <c r="H45" i="4"/>
  <c r="C44" i="4"/>
  <c r="R36" i="4"/>
  <c r="S36" i="4"/>
  <c r="Q36" i="4"/>
  <c r="O43" i="4" s="1"/>
  <c r="G42" i="4"/>
  <c r="O42" i="4"/>
  <c r="T28" i="4"/>
  <c r="C35" i="4"/>
  <c r="B43" i="4" s="1"/>
  <c r="D35" i="4"/>
  <c r="B45" i="4" s="1"/>
  <c r="B35" i="4"/>
  <c r="K28" i="4"/>
  <c r="P36" i="4"/>
  <c r="O36" i="4"/>
  <c r="N36" i="4"/>
  <c r="N42" i="4" s="1"/>
  <c r="G45" i="4"/>
  <c r="O45" i="4"/>
  <c r="B36" i="4"/>
  <c r="H27" i="4"/>
  <c r="H36" i="4" s="1"/>
  <c r="C42" i="4"/>
  <c r="G36" i="4"/>
  <c r="F36" i="4"/>
  <c r="E36" i="4"/>
  <c r="M35" i="4"/>
  <c r="L35" i="4"/>
  <c r="K35" i="4"/>
  <c r="O35" i="4"/>
  <c r="P35" i="4"/>
  <c r="N35" i="4"/>
  <c r="J45" i="4"/>
  <c r="C36" i="4"/>
  <c r="L36" i="4" l="1"/>
  <c r="K36" i="4"/>
  <c r="E42" i="4"/>
  <c r="M36" i="4"/>
  <c r="H44" i="4"/>
  <c r="U36" i="4"/>
  <c r="K43" i="4"/>
  <c r="K45" i="4"/>
  <c r="E43" i="4"/>
  <c r="D43" i="4"/>
  <c r="I43" i="4" s="1"/>
  <c r="D54" i="4" s="1"/>
  <c r="F45" i="4"/>
  <c r="I45" i="4" s="1"/>
  <c r="D52" i="4" s="1"/>
  <c r="F44" i="4"/>
  <c r="L44" i="4"/>
  <c r="D44" i="4"/>
  <c r="T36" i="4"/>
  <c r="F42" i="4"/>
  <c r="D42" i="4"/>
  <c r="I36" i="4"/>
  <c r="L42" i="4" s="1"/>
  <c r="J44" i="4"/>
  <c r="J42" i="4"/>
  <c r="N44" i="4"/>
  <c r="N45" i="4"/>
  <c r="H43" i="4"/>
  <c r="F43" i="4"/>
  <c r="J43" i="4"/>
  <c r="O44" i="4"/>
  <c r="E44" i="4"/>
  <c r="K42" i="4"/>
  <c r="B44" i="4"/>
  <c r="B42" i="4"/>
  <c r="K44" i="4"/>
  <c r="J36" i="4"/>
  <c r="L43" i="4" s="1"/>
  <c r="P42" i="4" l="1"/>
  <c r="P45" i="4"/>
  <c r="P44" i="4"/>
  <c r="P43" i="4"/>
  <c r="M45" i="4"/>
  <c r="I44" i="4"/>
  <c r="D53" i="4" s="1"/>
  <c r="L45" i="4"/>
  <c r="Q45" i="4" s="1"/>
  <c r="Q43" i="4"/>
  <c r="M42" i="4"/>
  <c r="Q42" i="4" s="1"/>
  <c r="Q44" i="4"/>
  <c r="I42" i="4"/>
  <c r="D51" i="4" s="1"/>
  <c r="M43" i="4"/>
  <c r="M44" i="4"/>
  <c r="E51" i="4" l="1"/>
  <c r="R42" i="4"/>
  <c r="E53" i="4"/>
  <c r="R44" i="4"/>
  <c r="E54" i="4"/>
  <c r="R43" i="4"/>
  <c r="R45" i="4"/>
  <c r="E52" i="4"/>
  <c r="F54" i="4" l="1"/>
  <c r="S43" i="4"/>
  <c r="S45" i="4"/>
  <c r="F52" i="4"/>
  <c r="F53" i="4"/>
  <c r="S44" i="4"/>
  <c r="S42" i="4"/>
  <c r="F51" i="4"/>
</calcChain>
</file>

<file path=xl/sharedStrings.xml><?xml version="1.0" encoding="utf-8"?>
<sst xmlns="http://schemas.openxmlformats.org/spreadsheetml/2006/main" count="399" uniqueCount="109">
  <si>
    <t>Фаза 1 — Экспертное оценивание и нечёткий коллективный TOPSIS</t>
  </si>
  <si>
    <t>Код</t>
  </si>
  <si>
    <t>Критерий</t>
  </si>
  <si>
    <t>Тип</t>
  </si>
  <si>
    <t>Шкала</t>
  </si>
  <si>
    <t>Лучшее значение</t>
  </si>
  <si>
    <t>Комментарий</t>
  </si>
  <si>
    <t>K1</t>
  </si>
  <si>
    <t>Практическая значимость</t>
  </si>
  <si>
    <t>Benefit</t>
  </si>
  <si>
    <t>0–10</t>
  </si>
  <si>
    <t>Больше</t>
  </si>
  <si>
    <t>Одинаковый критерий применяется ко всем 4 концепциям</t>
  </si>
  <si>
    <t>K2</t>
  </si>
  <si>
    <t>Функциональная содержательность</t>
  </si>
  <si>
    <t>K3</t>
  </si>
  <si>
    <t>Потенциал интеграции и развития</t>
  </si>
  <si>
    <t>K4</t>
  </si>
  <si>
    <t>Демонстрационная и исследовательская ценность</t>
  </si>
  <si>
    <t>K5</t>
  </si>
  <si>
    <t>Трудоёмкость реализации MVP</t>
  </si>
  <si>
    <t>Cost</t>
  </si>
  <si>
    <t>Меньше</t>
  </si>
  <si>
    <t>K6</t>
  </si>
  <si>
    <t>Зависимость MVP от внешних ресурсов</t>
  </si>
  <si>
    <t>K7</t>
  </si>
  <si>
    <t>Сложность эксплуатации и сопровождения MVP</t>
  </si>
  <si>
    <t>Материал</t>
  </si>
  <si>
    <t>Ссылка</t>
  </si>
  <si>
    <t>Легенда критериев</t>
  </si>
  <si>
    <t>Репозиторий проекта</t>
  </si>
  <si>
    <t>https://github.com/Redin666/project_management</t>
  </si>
  <si>
    <t>Benefit ↑</t>
  </si>
  <si>
    <t>Больше — лучше</t>
  </si>
  <si>
    <t>Issue #15 — оценивание</t>
  </si>
  <si>
    <t>https://github.com/Redin666/project_management/issues/15</t>
  </si>
  <si>
    <t>Cost ↓</t>
  </si>
  <si>
    <t>Меньше — лучше</t>
  </si>
  <si>
    <t>Issue #5 — TOPSIS</t>
  </si>
  <si>
    <t>https://github.com/Redin666/project_management/issues/5</t>
  </si>
  <si>
    <t>Метод расчёта</t>
  </si>
  <si>
    <t>1) Каждый эксперт выставляет одну целую оценку 0–10.
2) Три оценки объединяются в нечёткое число (l, m, u) = (MIN, MEDIAN, MAX).
3) Важность критерия преобразуется в нечёткий вес делением каждой компоненты на 10.
4) Benefit: (l/U, m/U, u/U), где U = max верхней границы.
5) Cost: (L/u, L/m, L/l), где L = min нижней границы.
6) После взвешивания определяются идеал/антиидеал, расстояния и CC = D-/(D+ + D-).</t>
  </si>
  <si>
    <t>Экспертное оценивание — черновой набор для подтверждения</t>
  </si>
  <si>
    <t>Важность критериев</t>
  </si>
  <si>
    <t>Никита Редин</t>
  </si>
  <si>
    <t>Павел Шатков</t>
  </si>
  <si>
    <t>Владислав Полищук</t>
  </si>
  <si>
    <t>l = MIN</t>
  </si>
  <si>
    <t>m = MEDIAN</t>
  </si>
  <si>
    <t>u = MAX</t>
  </si>
  <si>
    <t>Оценки альтернатив</t>
  </si>
  <si>
    <t>Альтернатива</t>
  </si>
  <si>
    <t>A1 — Система управления результатами тестирования на проникновение</t>
  </si>
  <si>
    <t>K1 — Практическая значимость</t>
  </si>
  <si>
    <t>K2 — Функциональная содержательность</t>
  </si>
  <si>
    <t>K3 — Потенциал интеграции и развития</t>
  </si>
  <si>
    <t>K4 — Демонстрационная и исследовательская ценность</t>
  </si>
  <si>
    <t>K5 — Трудоёмкость реализации MVP</t>
  </si>
  <si>
    <t>K6 — Зависимость MVP от внешних ресурсов</t>
  </si>
  <si>
    <t>K7 — Сложность эксплуатации и сопровождения MVP</t>
  </si>
  <si>
    <t>A2 — Система контроля безопасности процесса разработки ПО</t>
  </si>
  <si>
    <t>A3 — Система регистрации и обработки инцидентов информационной безопасности</t>
  </si>
  <si>
    <t>A4 — Система управления проверками защищённости информационных систем</t>
  </si>
  <si>
    <t>Коллективные нечёткие оценки (l, m, u)</t>
  </si>
  <si>
    <t>Нечёткие веса критериев</t>
  </si>
  <si>
    <t>l</t>
  </si>
  <si>
    <t>m</t>
  </si>
  <si>
    <t>u</t>
  </si>
  <si>
    <t>Вес (l;m;u) / 10</t>
  </si>
  <si>
    <t>Коллективная матрица решений</t>
  </si>
  <si>
    <t>Нечёткий коллективный TOPSIS — выбор концепции проекта</t>
  </si>
  <si>
    <t>Расчёт по 4 альтернативам и 7 критериям · Benefit K1–K4 · Cost K5–K7</t>
  </si>
  <si>
    <t>Этап 1 — Нечёткие веса</t>
  </si>
  <si>
    <t>Этап 2 — Нормализованная матрица</t>
  </si>
  <si>
    <t>Этап 3 — Взвешенная нормализованная матрица</t>
  </si>
  <si>
    <t>Этап 4 — Идеальное и антиидеальное решения</t>
  </si>
  <si>
    <t>Решение</t>
  </si>
  <si>
    <t>A+ (идеал)</t>
  </si>
  <si>
    <t>A− (антиидеал)</t>
  </si>
  <si>
    <t>Этап 5 — Расстояния и коэффициент близости</t>
  </si>
  <si>
    <t>d+ K1</t>
  </si>
  <si>
    <t>d+ K2</t>
  </si>
  <si>
    <t>d+ K3</t>
  </si>
  <si>
    <t>d+ K4</t>
  </si>
  <si>
    <t>d+ K5</t>
  </si>
  <si>
    <t>d+ K6</t>
  </si>
  <si>
    <t>d+ K7</t>
  </si>
  <si>
    <t>D+</t>
  </si>
  <si>
    <t>d− K1</t>
  </si>
  <si>
    <t>d− K2</t>
  </si>
  <si>
    <t>d− K3</t>
  </si>
  <si>
    <t>d− K4</t>
  </si>
  <si>
    <t>d− K5</t>
  </si>
  <si>
    <t>d− K6</t>
  </si>
  <si>
    <t>d− K7</t>
  </si>
  <si>
    <t>D−</t>
  </si>
  <si>
    <t>CC</t>
  </si>
  <si>
    <t>Ранг</t>
  </si>
  <si>
    <t>Итоговое ранжирование</t>
  </si>
  <si>
    <t>Место</t>
  </si>
  <si>
    <t>Концепция</t>
  </si>
  <si>
    <t>A1</t>
  </si>
  <si>
    <t>Система управления результатами тестирования на проникновение</t>
  </si>
  <si>
    <t>A4</t>
  </si>
  <si>
    <t>Система управления проверками защищённости информационных систем</t>
  </si>
  <si>
    <t>A3</t>
  </si>
  <si>
    <t>Система регистрации и обработки инцидентов информационной безопасности</t>
  </si>
  <si>
    <t>A2</t>
  </si>
  <si>
    <t>Система контроля безопасности процесса разработки 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</si>
</sst>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3">
    <font>
      <sz val="11"/>
      <name val="Carlito"/>
    </font>
    <font>
      <b/>
      <sz val="14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548235"/>
      <name val="Carlito"/>
    </font>
    <font>
      <b/>
      <sz val="11"/>
      <color rgb="FFC65911"/>
      <name val="Carlito"/>
    </font>
    <font>
      <sz val="11"/>
      <color rgb="FF0563C1"/>
      <name val="Carlito"/>
    </font>
    <font>
      <b/>
      <sz val="17"/>
      <color rgb="FFFFFFFF"/>
      <name val="Carlito"/>
    </font>
    <font>
      <i/>
      <sz val="11"/>
      <color rgb="FF17365D"/>
      <name val="Carlito"/>
    </font>
    <font>
      <b/>
      <sz val="11"/>
      <color rgb="FF385723"/>
      <name val="Carlito"/>
    </font>
    <font>
      <sz val="11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EF5FB"/>
      </patternFill>
    </fill>
    <fill>
      <patternFill patternType="solid">
        <fgColor rgb="FFFAFAFA"/>
      </patternFill>
    </fill>
    <fill>
      <patternFill patternType="solid">
        <fgColor rgb="FF4472C4"/>
      </patternFill>
    </fill>
    <fill>
      <patternFill patternType="solid">
        <fgColor rgb="FFFFF9E6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D9EAF7"/>
      </patternFill>
    </fill>
    <fill>
      <patternFill patternType="solid">
        <fgColor rgb="FFFAFCFE"/>
      </patternFill>
    </fill>
    <fill>
      <patternFill patternType="solid">
        <fgColor rgb="FFF4F7FA"/>
      </patternFill>
    </fill>
    <fill>
      <patternFill patternType="solid">
        <fgColor rgb="FFEAF4FF"/>
      </patternFill>
    </fill>
    <fill>
      <patternFill patternType="solid">
        <fgColor rgb="FFF7F7F7"/>
      </patternFill>
    </fill>
    <fill>
      <patternFill patternType="solid">
        <fgColor rgb="FFC6E0B4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55">
    <xf numFmtId="0" fontId="0" fillId="0" borderId="0" xfId="0"/>
    <xf numFmtId="0" fontId="0" fillId="0" borderId="0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horizontal="center" vertical="center" wrapText="1"/>
    </xf>
    <xf numFmtId="0" fontId="0" fillId="6" borderId="0" xfId="1" applyNumberFormat="1" applyFont="1" applyFill="1" applyBorder="1" applyAlignment="1">
      <alignment vertical="center" wrapText="1"/>
    </xf>
    <xf numFmtId="0" fontId="0" fillId="7" borderId="0" xfId="1" applyNumberFormat="1" applyFont="1" applyFill="1" applyBorder="1" applyAlignment="1">
      <alignment vertical="center" wrapText="1"/>
    </xf>
    <xf numFmtId="0" fontId="6" fillId="6" borderId="0" xfId="1" applyNumberFormat="1" applyFont="1" applyFill="1" applyBorder="1" applyAlignment="1">
      <alignment vertical="center" wrapText="1"/>
    </xf>
    <xf numFmtId="0" fontId="7" fillId="7" borderId="0" xfId="1" applyNumberFormat="1" applyFont="1" applyFill="1" applyBorder="1" applyAlignment="1">
      <alignment vertical="center" wrapText="1"/>
    </xf>
    <xf numFmtId="0" fontId="0" fillId="8" borderId="0" xfId="1" applyNumberFormat="1" applyFont="1" applyFill="1" applyBorder="1" applyAlignment="1">
      <alignment vertical="center" wrapText="1"/>
    </xf>
    <xf numFmtId="0" fontId="8" fillId="8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horizontal="left" vertical="center" wrapText="1"/>
    </xf>
    <xf numFmtId="0" fontId="5" fillId="10" borderId="0" xfId="1" applyNumberFormat="1" applyFont="1" applyFill="1" applyBorder="1" applyAlignment="1">
      <alignment horizontal="center" vertical="center" wrapText="1"/>
    </xf>
    <xf numFmtId="0" fontId="0" fillId="12" borderId="0" xfId="1" applyNumberFormat="1" applyFont="1" applyFill="1" applyBorder="1" applyAlignment="1">
      <alignment vertical="center" wrapText="1"/>
    </xf>
    <xf numFmtId="0" fontId="0" fillId="13" borderId="0" xfId="1" applyNumberFormat="1" applyFont="1" applyFill="1" applyBorder="1" applyAlignment="1">
      <alignment vertical="center" wrapText="1"/>
    </xf>
    <xf numFmtId="0" fontId="0" fillId="8" borderId="0" xfId="1" applyNumberFormat="1" applyFont="1" applyFill="1" applyBorder="1" applyAlignment="1">
      <alignment horizontal="center" vertical="center" wrapText="1"/>
    </xf>
    <xf numFmtId="0" fontId="0" fillId="4" borderId="0" xfId="1" applyNumberFormat="1" applyFont="1" applyFill="1" applyBorder="1" applyAlignment="1">
      <alignment horizontal="center" vertical="center" wrapText="1"/>
    </xf>
    <xf numFmtId="0" fontId="0" fillId="11" borderId="0" xfId="1" applyNumberFormat="1" applyFont="1" applyFill="1" applyBorder="1" applyAlignment="1">
      <alignment horizontal="center" vertical="center" wrapText="1"/>
    </xf>
    <xf numFmtId="164" fontId="0" fillId="6" borderId="0" xfId="1" applyNumberFormat="1" applyFont="1" applyFill="1" applyBorder="1" applyAlignment="1">
      <alignment horizontal="center" vertical="center" wrapText="1"/>
    </xf>
    <xf numFmtId="164" fontId="0" fillId="7" borderId="0" xfId="1" applyNumberFormat="1" applyFont="1" applyFill="1" applyBorder="1" applyAlignment="1">
      <alignment horizontal="center" vertical="center" wrapText="1"/>
    </xf>
    <xf numFmtId="0" fontId="6" fillId="6" borderId="0" xfId="1" applyNumberFormat="1" applyFont="1" applyFill="1" applyBorder="1" applyAlignment="1">
      <alignment horizontal="center" vertical="center" wrapText="1"/>
    </xf>
    <xf numFmtId="0" fontId="7" fillId="7" borderId="0" xfId="1" applyNumberFormat="1" applyFont="1" applyFill="1" applyBorder="1" applyAlignment="1">
      <alignment horizontal="center" vertical="center" wrapText="1"/>
    </xf>
    <xf numFmtId="0" fontId="0" fillId="12" borderId="0" xfId="1" applyNumberFormat="1" applyFont="1" applyFill="1" applyBorder="1" applyAlignment="1">
      <alignment horizontal="center" vertical="center" wrapText="1"/>
    </xf>
    <xf numFmtId="0" fontId="0" fillId="13" borderId="0" xfId="1" applyNumberFormat="1" applyFont="1" applyFill="1" applyBorder="1" applyAlignment="1">
      <alignment horizontal="center" vertical="center" wrapText="1"/>
    </xf>
    <xf numFmtId="164" fontId="6" fillId="6" borderId="0" xfId="1" applyNumberFormat="1" applyFont="1" applyFill="1" applyBorder="1" applyAlignment="1">
      <alignment horizontal="center" vertical="center" wrapText="1"/>
    </xf>
    <xf numFmtId="164" fontId="7" fillId="7" borderId="0" xfId="1" applyNumberFormat="1" applyFont="1" applyFill="1" applyBorder="1" applyAlignment="1">
      <alignment horizontal="center" vertical="center" wrapText="1"/>
    </xf>
    <xf numFmtId="0" fontId="0" fillId="15" borderId="0" xfId="1" applyNumberFormat="1" applyFont="1" applyFill="1" applyBorder="1" applyAlignment="1">
      <alignment vertical="center" wrapText="1"/>
    </xf>
    <xf numFmtId="0" fontId="0" fillId="16" borderId="0" xfId="1" applyNumberFormat="1" applyFont="1" applyFill="1" applyBorder="1" applyAlignment="1">
      <alignment vertical="center" wrapText="1"/>
    </xf>
    <xf numFmtId="0" fontId="0" fillId="17" borderId="0" xfId="1" applyNumberFormat="1" applyFont="1" applyFill="1" applyBorder="1" applyAlignment="1">
      <alignment vertical="center" wrapText="1"/>
    </xf>
    <xf numFmtId="0" fontId="0" fillId="18" borderId="0" xfId="1" applyNumberFormat="1" applyFont="1" applyFill="1" applyBorder="1" applyAlignment="1">
      <alignment vertical="center" wrapText="1"/>
    </xf>
    <xf numFmtId="164" fontId="0" fillId="18" borderId="0" xfId="1" applyNumberFormat="1" applyFont="1" applyFill="1" applyBorder="1" applyAlignment="1">
      <alignment vertical="center" wrapText="1"/>
    </xf>
    <xf numFmtId="0" fontId="2" fillId="17" borderId="0" xfId="1" applyNumberFormat="1" applyFont="1" applyFill="1" applyBorder="1" applyAlignment="1">
      <alignment horizontal="center" vertical="center" wrapText="1"/>
    </xf>
    <xf numFmtId="0" fontId="2" fillId="18" borderId="0" xfId="1" applyNumberFormat="1" applyFont="1" applyFill="1" applyBorder="1" applyAlignment="1">
      <alignment horizontal="center" vertical="center" wrapText="1"/>
    </xf>
    <xf numFmtId="0" fontId="11" fillId="19" borderId="0" xfId="1" applyNumberFormat="1" applyFont="1" applyFill="1" applyBorder="1" applyAlignment="1">
      <alignment horizontal="center" vertical="center" wrapText="1"/>
    </xf>
    <xf numFmtId="164" fontId="11" fillId="19" borderId="0" xfId="1" applyNumberFormat="1" applyFont="1" applyFill="1" applyBorder="1" applyAlignment="1">
      <alignment horizontal="center" vertical="center" wrapText="1"/>
    </xf>
    <xf numFmtId="164" fontId="0" fillId="15" borderId="0" xfId="1" applyNumberFormat="1" applyFont="1" applyFill="1" applyBorder="1" applyAlignment="1">
      <alignment horizontal="center" vertical="center" wrapText="1"/>
    </xf>
    <xf numFmtId="164" fontId="0" fillId="16" borderId="0" xfId="1" applyNumberFormat="1" applyFont="1" applyFill="1" applyBorder="1" applyAlignment="1">
      <alignment horizontal="center" vertical="center" wrapText="1"/>
    </xf>
    <xf numFmtId="164" fontId="0" fillId="17" borderId="0" xfId="1" applyNumberFormat="1" applyFont="1" applyFill="1" applyBorder="1" applyAlignment="1">
      <alignment horizontal="center" vertical="center" wrapText="1"/>
    </xf>
    <xf numFmtId="164" fontId="0" fillId="18" borderId="0" xfId="1" applyNumberFormat="1" applyFont="1" applyFill="1" applyBorder="1" applyAlignment="1">
      <alignment horizontal="center" vertical="center" wrapText="1"/>
    </xf>
    <xf numFmtId="0" fontId="3" fillId="3" borderId="0" xfId="1" applyNumberFormat="1" applyFont="1" applyFill="1" applyBorder="1" applyAlignment="1">
      <alignment horizontal="center"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0" fillId="9" borderId="0" xfId="1" applyNumberFormat="1" applyFont="1" applyFill="1" applyBorder="1" applyAlignment="1">
      <alignment vertical="top" wrapText="1"/>
    </xf>
    <xf numFmtId="0" fontId="5" fillId="5" borderId="0" xfId="1" applyNumberFormat="1" applyFont="1" applyFill="1" applyBorder="1" applyAlignment="1">
      <alignment horizontal="center" vertical="center" wrapText="1"/>
    </xf>
    <xf numFmtId="0" fontId="6" fillId="6" borderId="0" xfId="1" applyNumberFormat="1" applyFont="1" applyFill="1" applyBorder="1" applyAlignment="1">
      <alignment vertical="center" wrapText="1"/>
    </xf>
    <xf numFmtId="0" fontId="7" fillId="7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 applyAlignment="1">
      <alignment horizontal="left" vertic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6" fillId="6" borderId="0" xfId="1" applyNumberFormat="1" applyFont="1" applyFill="1" applyBorder="1" applyAlignment="1">
      <alignment horizontal="center" vertical="center" wrapText="1"/>
    </xf>
    <xf numFmtId="0" fontId="7" fillId="7" borderId="0" xfId="1" applyNumberFormat="1" applyFont="1" applyFill="1" applyBorder="1" applyAlignment="1">
      <alignment horizontal="center" vertical="center" wrapText="1"/>
    </xf>
    <xf numFmtId="164" fontId="5" fillId="5" borderId="0" xfId="1" applyNumberFormat="1" applyFont="1" applyFill="1" applyBorder="1" applyAlignment="1">
      <alignment horizontal="left" vertical="center" wrapText="1"/>
    </xf>
    <xf numFmtId="164" fontId="6" fillId="6" borderId="0" xfId="1" applyNumberFormat="1" applyFont="1" applyFill="1" applyBorder="1" applyAlignment="1">
      <alignment horizontal="center" vertical="center" wrapText="1"/>
    </xf>
    <xf numFmtId="164" fontId="7" fillId="7" borderId="0" xfId="1" applyNumberFormat="1" applyFont="1" applyFill="1" applyBorder="1" applyAlignment="1">
      <alignment horizontal="center" vertical="center" wrapText="1"/>
    </xf>
    <xf numFmtId="0" fontId="10" fillId="14" borderId="0" xfId="1" applyNumberFormat="1" applyFont="1" applyFill="1" applyBorder="1" applyAlignment="1">
      <alignment horizontal="center" vertical="center" wrapText="1"/>
    </xf>
    <xf numFmtId="0" fontId="9" fillId="20" borderId="0" xfId="1" applyNumberFormat="1" applyFont="1" applyFill="1" applyBorder="1" applyAlignment="1">
      <alignment horizontal="center"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Коэффициент близости </a:t>
            </a:r>
            <a:r>
              <a:rPr lang="en-US"/>
              <a:t>CC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CC</c:v>
          </c:tx>
          <c:invertIfNegative val="1"/>
          <c:cat>
            <c:strRef>
              <c:f>TOPSIS!$B$51:$B$54</c:f>
              <c:strCache>
                <c:ptCount val="4"/>
                <c:pt idx="0">
                  <c:v>A1</c:v>
                </c:pt>
                <c:pt idx="1">
                  <c:v>A4</c:v>
                </c:pt>
                <c:pt idx="2">
                  <c:v>A3</c:v>
                </c:pt>
                <c:pt idx="3">
                  <c:v>A2</c:v>
                </c:pt>
              </c:strCache>
            </c:strRef>
          </c:cat>
          <c:val>
            <c:numRef>
              <c:f>TOPSIS!$F$51:$F$54</c:f>
              <c:numCache>
                <c:formatCode>0.0000</c:formatCode>
                <c:ptCount val="4"/>
                <c:pt idx="0">
                  <c:v>0.54978554167275784</c:v>
                </c:pt>
                <c:pt idx="1">
                  <c:v>0.50693937809721989</c:v>
                </c:pt>
                <c:pt idx="2">
                  <c:v>0.43041646512614412</c:v>
                </c:pt>
                <c:pt idx="3">
                  <c:v>0.3712040291518855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595184"/>
        <c:axId val="427596752"/>
      </c:barChart>
      <c:catAx>
        <c:axId val="42759518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27596752"/>
        <c:crosses val="autoZero"/>
        <c:auto val="1"/>
        <c:lblAlgn val="ctr"/>
        <c:lblOffset val="100"/>
        <c:noMultiLvlLbl val="1"/>
      </c:catAx>
      <c:valAx>
        <c:axId val="42759675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27595184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48</xdr:row>
      <xdr:rowOff>0</xdr:rowOff>
    </xdr:from>
    <xdr:to>
      <xdr:col>22</xdr:col>
      <xdr:colOff>0</xdr:colOff>
      <xdr:row>64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workbookViewId="0">
      <pane ySplit="6" topLeftCell="A7" activePane="bottomLeft" state="frozen"/>
      <selection pane="bottomLeft" activeCell="A3" sqref="A3:F4"/>
    </sheetView>
  </sheetViews>
  <sheetFormatPr defaultRowHeight="13.8"/>
  <cols>
    <col min="1" max="1" width="17" customWidth="1"/>
    <col min="2" max="2" width="48" customWidth="1"/>
    <col min="3" max="3" width="18" customWidth="1"/>
    <col min="4" max="4" width="17" customWidth="1"/>
    <col min="5" max="5" width="18" customWidth="1"/>
    <col min="6" max="6" width="35" customWidth="1"/>
  </cols>
  <sheetData>
    <row r="1" spans="1:23" ht="30" customHeight="1">
      <c r="A1" s="40" t="s">
        <v>0</v>
      </c>
      <c r="B1" s="40"/>
      <c r="C1" s="40"/>
      <c r="D1" s="40"/>
      <c r="E1" s="40"/>
      <c r="F1" s="4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0" customHeight="1">
      <c r="A3" s="41"/>
      <c r="B3" s="41"/>
      <c r="C3" s="41"/>
      <c r="D3" s="41"/>
      <c r="E3" s="41"/>
      <c r="F3" s="4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0" customHeight="1">
      <c r="A4" s="41"/>
      <c r="B4" s="41"/>
      <c r="C4" s="41"/>
      <c r="D4" s="41"/>
      <c r="E4" s="41"/>
      <c r="F4" s="4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5.95" customHeight="1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4.049999999999997" customHeight="1">
      <c r="A7" s="5" t="s">
        <v>7</v>
      </c>
      <c r="B7" s="5" t="s">
        <v>8</v>
      </c>
      <c r="C7" s="7" t="s">
        <v>9</v>
      </c>
      <c r="D7" s="5" t="s">
        <v>10</v>
      </c>
      <c r="E7" s="7" t="s">
        <v>11</v>
      </c>
      <c r="F7" s="5" t="s"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4.049999999999997" customHeight="1">
      <c r="A8" s="5" t="s">
        <v>13</v>
      </c>
      <c r="B8" s="5" t="s">
        <v>14</v>
      </c>
      <c r="C8" s="7" t="s">
        <v>9</v>
      </c>
      <c r="D8" s="5" t="s">
        <v>10</v>
      </c>
      <c r="E8" s="7" t="s">
        <v>11</v>
      </c>
      <c r="F8" s="5" t="s">
        <v>12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4.049999999999997" customHeight="1">
      <c r="A9" s="5" t="s">
        <v>15</v>
      </c>
      <c r="B9" s="5" t="s">
        <v>16</v>
      </c>
      <c r="C9" s="7" t="s">
        <v>9</v>
      </c>
      <c r="D9" s="5" t="s">
        <v>10</v>
      </c>
      <c r="E9" s="7" t="s">
        <v>11</v>
      </c>
      <c r="F9" s="5" t="s">
        <v>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4.049999999999997" customHeight="1">
      <c r="A10" s="5" t="s">
        <v>17</v>
      </c>
      <c r="B10" s="5" t="s">
        <v>18</v>
      </c>
      <c r="C10" s="7" t="s">
        <v>9</v>
      </c>
      <c r="D10" s="5" t="s">
        <v>10</v>
      </c>
      <c r="E10" s="7" t="s">
        <v>11</v>
      </c>
      <c r="F10" s="5" t="s">
        <v>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4.049999999999997" customHeight="1">
      <c r="A11" s="6" t="s">
        <v>19</v>
      </c>
      <c r="B11" s="6" t="s">
        <v>20</v>
      </c>
      <c r="C11" s="8" t="s">
        <v>21</v>
      </c>
      <c r="D11" s="6" t="s">
        <v>10</v>
      </c>
      <c r="E11" s="8" t="s">
        <v>22</v>
      </c>
      <c r="F11" s="6" t="s">
        <v>12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4.049999999999997" customHeight="1">
      <c r="A12" s="6" t="s">
        <v>23</v>
      </c>
      <c r="B12" s="6" t="s">
        <v>24</v>
      </c>
      <c r="C12" s="8" t="s">
        <v>21</v>
      </c>
      <c r="D12" s="6" t="s">
        <v>10</v>
      </c>
      <c r="E12" s="8" t="s">
        <v>22</v>
      </c>
      <c r="F12" s="6" t="s">
        <v>12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4.049999999999997" customHeight="1">
      <c r="A13" s="6" t="s">
        <v>25</v>
      </c>
      <c r="B13" s="6" t="s">
        <v>26</v>
      </c>
      <c r="C13" s="8" t="s">
        <v>21</v>
      </c>
      <c r="D13" s="6" t="s">
        <v>10</v>
      </c>
      <c r="E13" s="8" t="s">
        <v>22</v>
      </c>
      <c r="F13" s="6" t="s">
        <v>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4" t="s">
        <v>27</v>
      </c>
      <c r="B16" s="4" t="s">
        <v>28</v>
      </c>
      <c r="C16" s="1"/>
      <c r="D16" s="43" t="s">
        <v>29</v>
      </c>
      <c r="E16" s="43"/>
      <c r="F16" s="4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4" customHeight="1">
      <c r="A17" s="9" t="s">
        <v>30</v>
      </c>
      <c r="B17" s="10" t="s">
        <v>31</v>
      </c>
      <c r="C17" s="1"/>
      <c r="D17" s="44" t="s">
        <v>32</v>
      </c>
      <c r="E17" s="44"/>
      <c r="F17" s="5" t="s">
        <v>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" customHeight="1">
      <c r="A18" s="9" t="s">
        <v>34</v>
      </c>
      <c r="B18" s="10" t="s">
        <v>35</v>
      </c>
      <c r="C18" s="1"/>
      <c r="D18" s="45" t="s">
        <v>36</v>
      </c>
      <c r="E18" s="45"/>
      <c r="F18" s="6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4" customHeight="1">
      <c r="A19" s="9" t="s">
        <v>38</v>
      </c>
      <c r="B19" s="10" t="s">
        <v>39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2" t="s">
        <v>40</v>
      </c>
      <c r="B22" s="12"/>
      <c r="C22" s="12"/>
      <c r="D22" s="12"/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42" t="s">
        <v>41</v>
      </c>
      <c r="B23" s="42"/>
      <c r="C23" s="42"/>
      <c r="D23" s="42"/>
      <c r="E23" s="42"/>
      <c r="F23" s="4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42"/>
      <c r="B24" s="42"/>
      <c r="C24" s="42"/>
      <c r="D24" s="42"/>
      <c r="E24" s="42"/>
      <c r="F24" s="4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42"/>
      <c r="B25" s="42"/>
      <c r="C25" s="42"/>
      <c r="D25" s="42"/>
      <c r="E25" s="42"/>
      <c r="F25" s="4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42"/>
      <c r="B26" s="42"/>
      <c r="C26" s="42"/>
      <c r="D26" s="42"/>
      <c r="E26" s="42"/>
      <c r="F26" s="4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42"/>
      <c r="B27" s="42"/>
      <c r="C27" s="42"/>
      <c r="D27" s="42"/>
      <c r="E27" s="42"/>
      <c r="F27" s="4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</sheetData>
  <mergeCells count="6">
    <mergeCell ref="A1:F1"/>
    <mergeCell ref="A3:F4"/>
    <mergeCell ref="A23:F27"/>
    <mergeCell ref="D16:F16"/>
    <mergeCell ref="D17:E17"/>
    <mergeCell ref="D18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tabSelected="1" workbookViewId="0">
      <pane xSplit="3" ySplit="7" topLeftCell="D32" activePane="bottomRight" state="frozen"/>
      <selection pane="topRight"/>
      <selection pane="bottomLeft"/>
      <selection pane="bottomRight" activeCell="K17" sqref="K17"/>
    </sheetView>
  </sheetViews>
  <sheetFormatPr defaultRowHeight="13.8"/>
  <cols>
    <col min="1" max="1" width="43" customWidth="1"/>
    <col min="2" max="2" width="39" customWidth="1"/>
    <col min="3" max="3" width="15" customWidth="1"/>
    <col min="4" max="6" width="16" customWidth="1"/>
    <col min="7" max="9" width="14" customWidth="1"/>
  </cols>
  <sheetData>
    <row r="1" spans="1:23" ht="30" customHeight="1">
      <c r="A1" s="40" t="s">
        <v>42</v>
      </c>
      <c r="B1" s="40"/>
      <c r="C1" s="40"/>
      <c r="D1" s="40"/>
      <c r="E1" s="40"/>
      <c r="F1" s="40"/>
      <c r="G1" s="40"/>
      <c r="H1" s="40"/>
      <c r="I1" s="40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8.05" customHeight="1">
      <c r="A3" s="41"/>
      <c r="B3" s="41"/>
      <c r="C3" s="41"/>
      <c r="D3" s="41"/>
      <c r="E3" s="41"/>
      <c r="F3" s="41"/>
      <c r="G3" s="41"/>
      <c r="H3" s="41"/>
      <c r="I3" s="4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8.05" customHeight="1">
      <c r="A4" s="41"/>
      <c r="B4" s="41"/>
      <c r="C4" s="41"/>
      <c r="D4" s="41"/>
      <c r="E4" s="41"/>
      <c r="F4" s="41"/>
      <c r="G4" s="41"/>
      <c r="H4" s="41"/>
      <c r="I4" s="4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46" t="s">
        <v>43</v>
      </c>
      <c r="B6" s="46"/>
      <c r="C6" s="46"/>
      <c r="D6" s="46"/>
      <c r="E6" s="46"/>
      <c r="F6" s="46"/>
      <c r="G6" s="46"/>
      <c r="H6" s="46"/>
      <c r="I6" s="4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7.6">
      <c r="A7" s="13" t="s">
        <v>1</v>
      </c>
      <c r="B7" s="13" t="s">
        <v>2</v>
      </c>
      <c r="C7" s="13" t="s">
        <v>3</v>
      </c>
      <c r="D7" s="13" t="s">
        <v>44</v>
      </c>
      <c r="E7" s="13" t="s">
        <v>45</v>
      </c>
      <c r="F7" s="13" t="s">
        <v>46</v>
      </c>
      <c r="G7" s="13" t="s">
        <v>47</v>
      </c>
      <c r="H7" s="13" t="s">
        <v>48</v>
      </c>
      <c r="I7" s="13" t="s">
        <v>49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 t="s">
        <v>7</v>
      </c>
      <c r="B8" s="1" t="s">
        <v>8</v>
      </c>
      <c r="C8" s="7" t="s">
        <v>32</v>
      </c>
      <c r="D8" s="16">
        <v>10</v>
      </c>
      <c r="E8" s="16">
        <v>9</v>
      </c>
      <c r="F8" s="16">
        <v>9</v>
      </c>
      <c r="G8" s="17">
        <f t="shared" ref="G8:G14" si="0">MIN(D8:F8)</f>
        <v>9</v>
      </c>
      <c r="H8" s="17">
        <f t="shared" ref="H8:H14" si="1">MEDIAN(D8:F8)</f>
        <v>9</v>
      </c>
      <c r="I8" s="17">
        <f t="shared" ref="I8:I14" si="2">MAX(D8:F8)</f>
        <v>10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 t="s">
        <v>13</v>
      </c>
      <c r="B9" s="1" t="s">
        <v>14</v>
      </c>
      <c r="C9" s="7" t="s">
        <v>32</v>
      </c>
      <c r="D9" s="16">
        <v>8</v>
      </c>
      <c r="E9" s="16">
        <v>8</v>
      </c>
      <c r="F9" s="16">
        <v>9</v>
      </c>
      <c r="G9" s="17">
        <f t="shared" si="0"/>
        <v>8</v>
      </c>
      <c r="H9" s="17">
        <f t="shared" si="1"/>
        <v>8</v>
      </c>
      <c r="I9" s="17">
        <f t="shared" si="2"/>
        <v>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 t="s">
        <v>15</v>
      </c>
      <c r="B10" s="1" t="s">
        <v>16</v>
      </c>
      <c r="C10" s="7" t="s">
        <v>32</v>
      </c>
      <c r="D10" s="16">
        <v>8</v>
      </c>
      <c r="E10" s="16">
        <v>7</v>
      </c>
      <c r="F10" s="16">
        <v>8</v>
      </c>
      <c r="G10" s="17">
        <f t="shared" si="0"/>
        <v>7</v>
      </c>
      <c r="H10" s="17">
        <f t="shared" si="1"/>
        <v>8</v>
      </c>
      <c r="I10" s="17">
        <f t="shared" si="2"/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7.6">
      <c r="A11" s="1" t="s">
        <v>17</v>
      </c>
      <c r="B11" s="1" t="s">
        <v>18</v>
      </c>
      <c r="C11" s="7" t="s">
        <v>32</v>
      </c>
      <c r="D11" s="16">
        <v>9</v>
      </c>
      <c r="E11" s="16">
        <v>8</v>
      </c>
      <c r="F11" s="16">
        <v>9</v>
      </c>
      <c r="G11" s="17">
        <f t="shared" si="0"/>
        <v>8</v>
      </c>
      <c r="H11" s="17">
        <f t="shared" si="1"/>
        <v>9</v>
      </c>
      <c r="I11" s="17">
        <f t="shared" si="2"/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 t="s">
        <v>19</v>
      </c>
      <c r="B12" s="1" t="s">
        <v>20</v>
      </c>
      <c r="C12" s="8" t="s">
        <v>36</v>
      </c>
      <c r="D12" s="16">
        <v>9</v>
      </c>
      <c r="E12" s="16">
        <v>10</v>
      </c>
      <c r="F12" s="16">
        <v>9</v>
      </c>
      <c r="G12" s="17">
        <f t="shared" si="0"/>
        <v>9</v>
      </c>
      <c r="H12" s="17">
        <f t="shared" si="1"/>
        <v>9</v>
      </c>
      <c r="I12" s="17">
        <f t="shared" si="2"/>
        <v>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 t="s">
        <v>23</v>
      </c>
      <c r="B13" s="1" t="s">
        <v>24</v>
      </c>
      <c r="C13" s="8" t="s">
        <v>36</v>
      </c>
      <c r="D13" s="16">
        <v>7</v>
      </c>
      <c r="E13" s="16">
        <v>8</v>
      </c>
      <c r="F13" s="16">
        <v>8</v>
      </c>
      <c r="G13" s="17">
        <f t="shared" si="0"/>
        <v>7</v>
      </c>
      <c r="H13" s="17">
        <f t="shared" si="1"/>
        <v>8</v>
      </c>
      <c r="I13" s="17">
        <f t="shared" si="2"/>
        <v>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7.6">
      <c r="A14" s="1" t="s">
        <v>25</v>
      </c>
      <c r="B14" s="1" t="s">
        <v>26</v>
      </c>
      <c r="C14" s="8" t="s">
        <v>36</v>
      </c>
      <c r="D14" s="16">
        <v>7</v>
      </c>
      <c r="E14" s="16">
        <v>8</v>
      </c>
      <c r="F14" s="16">
        <v>7</v>
      </c>
      <c r="G14" s="17">
        <f t="shared" si="0"/>
        <v>7</v>
      </c>
      <c r="H14" s="17">
        <f t="shared" si="1"/>
        <v>7</v>
      </c>
      <c r="I14" s="17">
        <f t="shared" si="2"/>
        <v>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46" t="s">
        <v>50</v>
      </c>
      <c r="B17" s="46"/>
      <c r="C17" s="46"/>
      <c r="D17" s="46"/>
      <c r="E17" s="46"/>
      <c r="F17" s="46"/>
      <c r="G17" s="46"/>
      <c r="H17" s="46"/>
      <c r="I17" s="4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7.6">
      <c r="A18" s="13" t="s">
        <v>51</v>
      </c>
      <c r="B18" s="13" t="s">
        <v>2</v>
      </c>
      <c r="C18" s="13" t="s">
        <v>3</v>
      </c>
      <c r="D18" s="13" t="s">
        <v>44</v>
      </c>
      <c r="E18" s="13" t="s">
        <v>45</v>
      </c>
      <c r="F18" s="13" t="s">
        <v>46</v>
      </c>
      <c r="G18" s="13" t="s">
        <v>47</v>
      </c>
      <c r="H18" s="13" t="s">
        <v>48</v>
      </c>
      <c r="I18" s="13" t="s">
        <v>49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8.05" customHeight="1">
      <c r="A19" s="14" t="s">
        <v>52</v>
      </c>
      <c r="B19" s="14" t="s">
        <v>53</v>
      </c>
      <c r="C19" s="7" t="s">
        <v>32</v>
      </c>
      <c r="D19" s="16">
        <v>9</v>
      </c>
      <c r="E19" s="16">
        <v>9</v>
      </c>
      <c r="F19" s="16">
        <v>10</v>
      </c>
      <c r="G19" s="18">
        <f t="shared" ref="G19:G46" si="3">MIN(D19:F19)</f>
        <v>9</v>
      </c>
      <c r="H19" s="18">
        <f t="shared" ref="H19:H46" si="4">MEDIAN(D19:F19)</f>
        <v>9</v>
      </c>
      <c r="I19" s="18">
        <f t="shared" ref="I19:I46" si="5">MAX(D19:F19)</f>
        <v>10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28.05" customHeight="1">
      <c r="A20" s="14" t="s">
        <v>52</v>
      </c>
      <c r="B20" s="14" t="s">
        <v>54</v>
      </c>
      <c r="C20" s="7" t="s">
        <v>32</v>
      </c>
      <c r="D20" s="16">
        <v>8</v>
      </c>
      <c r="E20" s="16">
        <v>8</v>
      </c>
      <c r="F20" s="16">
        <v>9</v>
      </c>
      <c r="G20" s="18">
        <f t="shared" si="3"/>
        <v>8</v>
      </c>
      <c r="H20" s="18">
        <f t="shared" si="4"/>
        <v>8</v>
      </c>
      <c r="I20" s="18">
        <f t="shared" si="5"/>
        <v>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28.05" customHeight="1">
      <c r="A21" s="14" t="s">
        <v>52</v>
      </c>
      <c r="B21" s="14" t="s">
        <v>55</v>
      </c>
      <c r="C21" s="7" t="s">
        <v>32</v>
      </c>
      <c r="D21" s="16">
        <v>8</v>
      </c>
      <c r="E21" s="16">
        <v>7</v>
      </c>
      <c r="F21" s="16">
        <v>8</v>
      </c>
      <c r="G21" s="18">
        <f t="shared" si="3"/>
        <v>7</v>
      </c>
      <c r="H21" s="18">
        <f t="shared" si="4"/>
        <v>8</v>
      </c>
      <c r="I21" s="18">
        <f t="shared" si="5"/>
        <v>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28.05" customHeight="1">
      <c r="A22" s="14" t="s">
        <v>52</v>
      </c>
      <c r="B22" s="14" t="s">
        <v>56</v>
      </c>
      <c r="C22" s="7" t="s">
        <v>32</v>
      </c>
      <c r="D22" s="16">
        <v>10</v>
      </c>
      <c r="E22" s="16">
        <v>9</v>
      </c>
      <c r="F22" s="16">
        <v>9</v>
      </c>
      <c r="G22" s="18">
        <f t="shared" si="3"/>
        <v>9</v>
      </c>
      <c r="H22" s="18">
        <f t="shared" si="4"/>
        <v>9</v>
      </c>
      <c r="I22" s="18">
        <f t="shared" si="5"/>
        <v>10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28.05" customHeight="1">
      <c r="A23" s="14" t="s">
        <v>52</v>
      </c>
      <c r="B23" s="14" t="s">
        <v>57</v>
      </c>
      <c r="C23" s="8" t="s">
        <v>36</v>
      </c>
      <c r="D23" s="16">
        <v>6</v>
      </c>
      <c r="E23" s="16">
        <v>6</v>
      </c>
      <c r="F23" s="16">
        <v>5</v>
      </c>
      <c r="G23" s="18">
        <f t="shared" si="3"/>
        <v>5</v>
      </c>
      <c r="H23" s="18">
        <f t="shared" si="4"/>
        <v>6</v>
      </c>
      <c r="I23" s="18">
        <f t="shared" si="5"/>
        <v>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28.05" customHeight="1">
      <c r="A24" s="14" t="s">
        <v>52</v>
      </c>
      <c r="B24" s="14" t="s">
        <v>58</v>
      </c>
      <c r="C24" s="8" t="s">
        <v>36</v>
      </c>
      <c r="D24" s="16">
        <v>4</v>
      </c>
      <c r="E24" s="16">
        <v>5</v>
      </c>
      <c r="F24" s="16">
        <v>4</v>
      </c>
      <c r="G24" s="18">
        <f t="shared" si="3"/>
        <v>4</v>
      </c>
      <c r="H24" s="18">
        <f t="shared" si="4"/>
        <v>4</v>
      </c>
      <c r="I24" s="18">
        <f t="shared" si="5"/>
        <v>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28.05" customHeight="1">
      <c r="A25" s="14" t="s">
        <v>52</v>
      </c>
      <c r="B25" s="14" t="s">
        <v>59</v>
      </c>
      <c r="C25" s="8" t="s">
        <v>36</v>
      </c>
      <c r="D25" s="16">
        <v>5</v>
      </c>
      <c r="E25" s="16">
        <v>5</v>
      </c>
      <c r="F25" s="16">
        <v>5</v>
      </c>
      <c r="G25" s="18">
        <f t="shared" si="3"/>
        <v>5</v>
      </c>
      <c r="H25" s="18">
        <f t="shared" si="4"/>
        <v>5</v>
      </c>
      <c r="I25" s="18">
        <f t="shared" si="5"/>
        <v>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28.05" customHeight="1">
      <c r="A26" s="15" t="s">
        <v>60</v>
      </c>
      <c r="B26" s="15" t="s">
        <v>53</v>
      </c>
      <c r="C26" s="7" t="s">
        <v>32</v>
      </c>
      <c r="D26" s="16">
        <v>9</v>
      </c>
      <c r="E26" s="16">
        <v>10</v>
      </c>
      <c r="F26" s="16">
        <v>9</v>
      </c>
      <c r="G26" s="18">
        <f t="shared" si="3"/>
        <v>9</v>
      </c>
      <c r="H26" s="18">
        <f t="shared" si="4"/>
        <v>9</v>
      </c>
      <c r="I26" s="18">
        <f t="shared" si="5"/>
        <v>10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28.05" customHeight="1">
      <c r="A27" s="15" t="s">
        <v>60</v>
      </c>
      <c r="B27" s="15" t="s">
        <v>54</v>
      </c>
      <c r="C27" s="7" t="s">
        <v>32</v>
      </c>
      <c r="D27" s="16">
        <v>9</v>
      </c>
      <c r="E27" s="16">
        <v>9</v>
      </c>
      <c r="F27" s="16">
        <v>9</v>
      </c>
      <c r="G27" s="18">
        <f t="shared" si="3"/>
        <v>9</v>
      </c>
      <c r="H27" s="18">
        <f t="shared" si="4"/>
        <v>9</v>
      </c>
      <c r="I27" s="18">
        <f t="shared" si="5"/>
        <v>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28.05" customHeight="1">
      <c r="A28" s="15" t="s">
        <v>60</v>
      </c>
      <c r="B28" s="15" t="s">
        <v>55</v>
      </c>
      <c r="C28" s="7" t="s">
        <v>32</v>
      </c>
      <c r="D28" s="16">
        <v>10</v>
      </c>
      <c r="E28" s="16">
        <v>9</v>
      </c>
      <c r="F28" s="16">
        <v>10</v>
      </c>
      <c r="G28" s="18">
        <f t="shared" si="3"/>
        <v>9</v>
      </c>
      <c r="H28" s="18">
        <f t="shared" si="4"/>
        <v>10</v>
      </c>
      <c r="I28" s="18">
        <f t="shared" si="5"/>
        <v>10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28.05" customHeight="1">
      <c r="A29" s="15" t="s">
        <v>60</v>
      </c>
      <c r="B29" s="15" t="s">
        <v>56</v>
      </c>
      <c r="C29" s="7" t="s">
        <v>32</v>
      </c>
      <c r="D29" s="16">
        <v>8</v>
      </c>
      <c r="E29" s="16">
        <v>8</v>
      </c>
      <c r="F29" s="16">
        <v>8</v>
      </c>
      <c r="G29" s="18">
        <f t="shared" si="3"/>
        <v>8</v>
      </c>
      <c r="H29" s="18">
        <f t="shared" si="4"/>
        <v>8</v>
      </c>
      <c r="I29" s="18">
        <f t="shared" si="5"/>
        <v>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28.05" customHeight="1">
      <c r="A30" s="15" t="s">
        <v>60</v>
      </c>
      <c r="B30" s="15" t="s">
        <v>57</v>
      </c>
      <c r="C30" s="8" t="s">
        <v>36</v>
      </c>
      <c r="D30" s="16">
        <v>8</v>
      </c>
      <c r="E30" s="16">
        <v>9</v>
      </c>
      <c r="F30" s="16">
        <v>8</v>
      </c>
      <c r="G30" s="18">
        <f t="shared" si="3"/>
        <v>8</v>
      </c>
      <c r="H30" s="18">
        <f t="shared" si="4"/>
        <v>8</v>
      </c>
      <c r="I30" s="18">
        <f t="shared" si="5"/>
        <v>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28.05" customHeight="1">
      <c r="A31" s="15" t="s">
        <v>60</v>
      </c>
      <c r="B31" s="15" t="s">
        <v>58</v>
      </c>
      <c r="C31" s="8" t="s">
        <v>36</v>
      </c>
      <c r="D31" s="16">
        <v>8</v>
      </c>
      <c r="E31" s="16">
        <v>8</v>
      </c>
      <c r="F31" s="16">
        <v>7</v>
      </c>
      <c r="G31" s="18">
        <f t="shared" si="3"/>
        <v>7</v>
      </c>
      <c r="H31" s="18">
        <f t="shared" si="4"/>
        <v>8</v>
      </c>
      <c r="I31" s="18">
        <f t="shared" si="5"/>
        <v>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8.05" customHeight="1">
      <c r="A32" s="15" t="s">
        <v>60</v>
      </c>
      <c r="B32" s="15" t="s">
        <v>59</v>
      </c>
      <c r="C32" s="8" t="s">
        <v>36</v>
      </c>
      <c r="D32" s="16">
        <v>8</v>
      </c>
      <c r="E32" s="16">
        <v>9</v>
      </c>
      <c r="F32" s="16">
        <v>8</v>
      </c>
      <c r="G32" s="18">
        <f t="shared" si="3"/>
        <v>8</v>
      </c>
      <c r="H32" s="18">
        <f t="shared" si="4"/>
        <v>8</v>
      </c>
      <c r="I32" s="18">
        <f t="shared" si="5"/>
        <v>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8.05" customHeight="1">
      <c r="A33" s="14" t="s">
        <v>61</v>
      </c>
      <c r="B33" s="14" t="s">
        <v>53</v>
      </c>
      <c r="C33" s="7" t="s">
        <v>32</v>
      </c>
      <c r="D33" s="16">
        <v>10</v>
      </c>
      <c r="E33" s="16">
        <v>10</v>
      </c>
      <c r="F33" s="16">
        <v>10</v>
      </c>
      <c r="G33" s="18">
        <f t="shared" si="3"/>
        <v>10</v>
      </c>
      <c r="H33" s="18">
        <f t="shared" si="4"/>
        <v>10</v>
      </c>
      <c r="I33" s="18">
        <f t="shared" si="5"/>
        <v>10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28.05" customHeight="1">
      <c r="A34" s="14" t="s">
        <v>61</v>
      </c>
      <c r="B34" s="14" t="s">
        <v>54</v>
      </c>
      <c r="C34" s="7" t="s">
        <v>32</v>
      </c>
      <c r="D34" s="16">
        <v>9</v>
      </c>
      <c r="E34" s="16">
        <v>9</v>
      </c>
      <c r="F34" s="16">
        <v>9</v>
      </c>
      <c r="G34" s="18">
        <f t="shared" si="3"/>
        <v>9</v>
      </c>
      <c r="H34" s="18">
        <f t="shared" si="4"/>
        <v>9</v>
      </c>
      <c r="I34" s="18">
        <f t="shared" si="5"/>
        <v>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28.05" customHeight="1">
      <c r="A35" s="14" t="s">
        <v>61</v>
      </c>
      <c r="B35" s="14" t="s">
        <v>55</v>
      </c>
      <c r="C35" s="7" t="s">
        <v>32</v>
      </c>
      <c r="D35" s="16">
        <v>9</v>
      </c>
      <c r="E35" s="16">
        <v>9</v>
      </c>
      <c r="F35" s="16">
        <v>9</v>
      </c>
      <c r="G35" s="18">
        <f t="shared" si="3"/>
        <v>9</v>
      </c>
      <c r="H35" s="18">
        <f t="shared" si="4"/>
        <v>9</v>
      </c>
      <c r="I35" s="18">
        <f t="shared" si="5"/>
        <v>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28.05" customHeight="1">
      <c r="A36" s="14" t="s">
        <v>61</v>
      </c>
      <c r="B36" s="14" t="s">
        <v>56</v>
      </c>
      <c r="C36" s="7" t="s">
        <v>32</v>
      </c>
      <c r="D36" s="16">
        <v>9</v>
      </c>
      <c r="E36" s="16">
        <v>8</v>
      </c>
      <c r="F36" s="16">
        <v>9</v>
      </c>
      <c r="G36" s="18">
        <f t="shared" si="3"/>
        <v>8</v>
      </c>
      <c r="H36" s="18">
        <f t="shared" si="4"/>
        <v>9</v>
      </c>
      <c r="I36" s="18">
        <f t="shared" si="5"/>
        <v>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28.05" customHeight="1">
      <c r="A37" s="14" t="s">
        <v>61</v>
      </c>
      <c r="B37" s="14" t="s">
        <v>57</v>
      </c>
      <c r="C37" s="8" t="s">
        <v>36</v>
      </c>
      <c r="D37" s="16">
        <v>8</v>
      </c>
      <c r="E37" s="16">
        <v>8</v>
      </c>
      <c r="F37" s="16">
        <v>7</v>
      </c>
      <c r="G37" s="18">
        <f t="shared" si="3"/>
        <v>7</v>
      </c>
      <c r="H37" s="18">
        <f t="shared" si="4"/>
        <v>8</v>
      </c>
      <c r="I37" s="18">
        <f t="shared" si="5"/>
        <v>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28.05" customHeight="1">
      <c r="A38" s="14" t="s">
        <v>61</v>
      </c>
      <c r="B38" s="14" t="s">
        <v>58</v>
      </c>
      <c r="C38" s="8" t="s">
        <v>36</v>
      </c>
      <c r="D38" s="16">
        <v>7</v>
      </c>
      <c r="E38" s="16">
        <v>7</v>
      </c>
      <c r="F38" s="16">
        <v>6</v>
      </c>
      <c r="G38" s="18">
        <f t="shared" si="3"/>
        <v>6</v>
      </c>
      <c r="H38" s="18">
        <f t="shared" si="4"/>
        <v>7</v>
      </c>
      <c r="I38" s="18">
        <f t="shared" si="5"/>
        <v>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28.05" customHeight="1">
      <c r="A39" s="14" t="s">
        <v>61</v>
      </c>
      <c r="B39" s="14" t="s">
        <v>59</v>
      </c>
      <c r="C39" s="8" t="s">
        <v>36</v>
      </c>
      <c r="D39" s="16">
        <v>8</v>
      </c>
      <c r="E39" s="16">
        <v>8</v>
      </c>
      <c r="F39" s="16">
        <v>7</v>
      </c>
      <c r="G39" s="18">
        <f t="shared" si="3"/>
        <v>7</v>
      </c>
      <c r="H39" s="18">
        <f t="shared" si="4"/>
        <v>8</v>
      </c>
      <c r="I39" s="18">
        <f t="shared" si="5"/>
        <v>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8.05" customHeight="1">
      <c r="A40" s="15" t="s">
        <v>62</v>
      </c>
      <c r="B40" s="15" t="s">
        <v>53</v>
      </c>
      <c r="C40" s="7" t="s">
        <v>32</v>
      </c>
      <c r="D40" s="16">
        <v>7</v>
      </c>
      <c r="E40" s="16">
        <v>8</v>
      </c>
      <c r="F40" s="16">
        <v>7</v>
      </c>
      <c r="G40" s="18">
        <f t="shared" si="3"/>
        <v>7</v>
      </c>
      <c r="H40" s="18">
        <f t="shared" si="4"/>
        <v>7</v>
      </c>
      <c r="I40" s="18">
        <f t="shared" si="5"/>
        <v>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28.05" customHeight="1">
      <c r="A41" s="15" t="s">
        <v>62</v>
      </c>
      <c r="B41" s="15" t="s">
        <v>54</v>
      </c>
      <c r="C41" s="7" t="s">
        <v>32</v>
      </c>
      <c r="D41" s="16">
        <v>7</v>
      </c>
      <c r="E41" s="16">
        <v>6</v>
      </c>
      <c r="F41" s="16">
        <v>7</v>
      </c>
      <c r="G41" s="18">
        <f t="shared" si="3"/>
        <v>6</v>
      </c>
      <c r="H41" s="18">
        <f t="shared" si="4"/>
        <v>7</v>
      </c>
      <c r="I41" s="18">
        <f t="shared" si="5"/>
        <v>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28.05" customHeight="1">
      <c r="A42" s="15" t="s">
        <v>62</v>
      </c>
      <c r="B42" s="15" t="s">
        <v>55</v>
      </c>
      <c r="C42" s="7" t="s">
        <v>32</v>
      </c>
      <c r="D42" s="16">
        <v>6</v>
      </c>
      <c r="E42" s="16">
        <v>6</v>
      </c>
      <c r="F42" s="16">
        <v>7</v>
      </c>
      <c r="G42" s="18">
        <f t="shared" si="3"/>
        <v>6</v>
      </c>
      <c r="H42" s="18">
        <f t="shared" si="4"/>
        <v>6</v>
      </c>
      <c r="I42" s="18">
        <f t="shared" si="5"/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28.05" customHeight="1">
      <c r="A43" s="15" t="s">
        <v>62</v>
      </c>
      <c r="B43" s="15" t="s">
        <v>56</v>
      </c>
      <c r="C43" s="7" t="s">
        <v>32</v>
      </c>
      <c r="D43" s="16">
        <v>7</v>
      </c>
      <c r="E43" s="16">
        <v>7</v>
      </c>
      <c r="F43" s="16">
        <v>8</v>
      </c>
      <c r="G43" s="18">
        <f t="shared" si="3"/>
        <v>7</v>
      </c>
      <c r="H43" s="18">
        <f t="shared" si="4"/>
        <v>7</v>
      </c>
      <c r="I43" s="18">
        <f t="shared" si="5"/>
        <v>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28.05" customHeight="1">
      <c r="A44" s="15" t="s">
        <v>62</v>
      </c>
      <c r="B44" s="15" t="s">
        <v>57</v>
      </c>
      <c r="C44" s="8" t="s">
        <v>36</v>
      </c>
      <c r="D44" s="16">
        <v>5</v>
      </c>
      <c r="E44" s="16">
        <v>4</v>
      </c>
      <c r="F44" s="16">
        <v>5</v>
      </c>
      <c r="G44" s="18">
        <f t="shared" si="3"/>
        <v>4</v>
      </c>
      <c r="H44" s="18">
        <f t="shared" si="4"/>
        <v>5</v>
      </c>
      <c r="I44" s="18">
        <f t="shared" si="5"/>
        <v>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28.05" customHeight="1">
      <c r="A45" s="15" t="s">
        <v>62</v>
      </c>
      <c r="B45" s="15" t="s">
        <v>58</v>
      </c>
      <c r="C45" s="8" t="s">
        <v>36</v>
      </c>
      <c r="D45" s="16">
        <v>3</v>
      </c>
      <c r="E45" s="16">
        <v>4</v>
      </c>
      <c r="F45" s="16">
        <v>3</v>
      </c>
      <c r="G45" s="18">
        <f t="shared" si="3"/>
        <v>3</v>
      </c>
      <c r="H45" s="18">
        <f t="shared" si="4"/>
        <v>3</v>
      </c>
      <c r="I45" s="18">
        <f t="shared" si="5"/>
        <v>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28.05" customHeight="1">
      <c r="A46" s="15" t="s">
        <v>62</v>
      </c>
      <c r="B46" s="15" t="s">
        <v>59</v>
      </c>
      <c r="C46" s="8" t="s">
        <v>36</v>
      </c>
      <c r="D46" s="16">
        <v>4</v>
      </c>
      <c r="E46" s="16">
        <v>4</v>
      </c>
      <c r="F46" s="16">
        <v>4</v>
      </c>
      <c r="G46" s="18">
        <f t="shared" si="3"/>
        <v>4</v>
      </c>
      <c r="H46" s="18">
        <f t="shared" si="4"/>
        <v>4</v>
      </c>
      <c r="I46" s="18">
        <f t="shared" si="5"/>
        <v>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</sheetData>
  <mergeCells count="4">
    <mergeCell ref="A1:I1"/>
    <mergeCell ref="A3:I4"/>
    <mergeCell ref="A6:I6"/>
    <mergeCell ref="A17:I17"/>
  </mergeCells>
  <conditionalFormatting sqref="G8:I1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19:I46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sqref="D8:F14">
      <formula1>0</formula1>
      <formula2>10</formula2>
    </dataValidation>
    <dataValidation sqref="D19:F46">
      <formula1>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workbookViewId="0">
      <pane xSplit="1" ySplit="16" topLeftCell="B17" activePane="bottomRight" state="frozen"/>
      <selection pane="topRight"/>
      <selection pane="bottomLeft"/>
      <selection pane="bottomRight" activeCell="B17" sqref="B17"/>
    </sheetView>
  </sheetViews>
  <sheetFormatPr defaultRowHeight="13.8"/>
  <cols>
    <col min="1" max="1" width="46" customWidth="1"/>
    <col min="2" max="22" width="9" customWidth="1"/>
  </cols>
  <sheetData>
    <row r="1" spans="1:23" ht="30" customHeight="1">
      <c r="A1" s="40" t="s">
        <v>63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7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46" t="s">
        <v>64</v>
      </c>
      <c r="B3" s="46"/>
      <c r="C3" s="46"/>
      <c r="D3" s="46"/>
      <c r="E3" s="4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1.4">
      <c r="A4" s="13" t="s">
        <v>2</v>
      </c>
      <c r="B4" s="13" t="s">
        <v>65</v>
      </c>
      <c r="C4" s="13" t="s">
        <v>66</v>
      </c>
      <c r="D4" s="13" t="s">
        <v>67</v>
      </c>
      <c r="E4" s="13" t="s">
        <v>68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1.4">
      <c r="A5" s="5" t="s">
        <v>53</v>
      </c>
      <c r="B5" s="19">
        <f>Оценки!G8/10</f>
        <v>0.9</v>
      </c>
      <c r="C5" s="19">
        <f>Оценки!H8/10</f>
        <v>0.9</v>
      </c>
      <c r="D5" s="19">
        <f>Оценки!I8/10</f>
        <v>1</v>
      </c>
      <c r="E5" s="5" t="e">
        <f t="shared" ref="E5:E11" si="0">TEXT(B5,"0.000")&amp;"; "&amp;TEXT(C5,"0.000")&amp;"; "&amp;TEXT(D5,"0.000")</f>
        <v>#VALUE!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1.4">
      <c r="A6" s="5" t="s">
        <v>54</v>
      </c>
      <c r="B6" s="19">
        <f>Оценки!G9/10</f>
        <v>0.8</v>
      </c>
      <c r="C6" s="19">
        <f>Оценки!H9/10</f>
        <v>0.8</v>
      </c>
      <c r="D6" s="19">
        <f>Оценки!I9/10</f>
        <v>0.9</v>
      </c>
      <c r="E6" s="5" t="e">
        <f t="shared" si="0"/>
        <v>#VALUE!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1.4">
      <c r="A7" s="5" t="s">
        <v>55</v>
      </c>
      <c r="B7" s="19">
        <f>Оценки!G10/10</f>
        <v>0.7</v>
      </c>
      <c r="C7" s="19">
        <f>Оценки!H10/10</f>
        <v>0.8</v>
      </c>
      <c r="D7" s="19">
        <f>Оценки!I10/10</f>
        <v>0.8</v>
      </c>
      <c r="E7" s="5" t="e">
        <f t="shared" si="0"/>
        <v>#VALUE!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1.4">
      <c r="A8" s="5" t="s">
        <v>56</v>
      </c>
      <c r="B8" s="19">
        <f>Оценки!G11/10</f>
        <v>0.8</v>
      </c>
      <c r="C8" s="19">
        <f>Оценки!H11/10</f>
        <v>0.9</v>
      </c>
      <c r="D8" s="19">
        <f>Оценки!I11/10</f>
        <v>0.9</v>
      </c>
      <c r="E8" s="5" t="e">
        <f t="shared" si="0"/>
        <v>#VALUE!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1.4">
      <c r="A9" s="6" t="s">
        <v>57</v>
      </c>
      <c r="B9" s="20">
        <f>Оценки!G12/10</f>
        <v>0.9</v>
      </c>
      <c r="C9" s="20">
        <f>Оценки!H12/10</f>
        <v>0.9</v>
      </c>
      <c r="D9" s="20">
        <f>Оценки!I12/10</f>
        <v>1</v>
      </c>
      <c r="E9" s="6" t="e">
        <f t="shared" si="0"/>
        <v>#VALUE!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1.4">
      <c r="A10" s="6" t="s">
        <v>58</v>
      </c>
      <c r="B10" s="20">
        <f>Оценки!G13/10</f>
        <v>0.7</v>
      </c>
      <c r="C10" s="20">
        <f>Оценки!H13/10</f>
        <v>0.8</v>
      </c>
      <c r="D10" s="20">
        <f>Оценки!I13/10</f>
        <v>0.8</v>
      </c>
      <c r="E10" s="6" t="e">
        <f t="shared" si="0"/>
        <v>#VALUE!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1.4">
      <c r="A11" s="6" t="s">
        <v>59</v>
      </c>
      <c r="B11" s="20">
        <f>Оценки!G14/10</f>
        <v>0.7</v>
      </c>
      <c r="C11" s="20">
        <f>Оценки!H14/10</f>
        <v>0.7</v>
      </c>
      <c r="D11" s="20">
        <f>Оценки!I14/10</f>
        <v>0.8</v>
      </c>
      <c r="E11" s="6" t="e">
        <f t="shared" si="0"/>
        <v>#VALUE!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46" t="s">
        <v>69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1"/>
    </row>
    <row r="15" spans="1:23">
      <c r="A15" s="13" t="s">
        <v>51</v>
      </c>
      <c r="B15" s="48" t="s">
        <v>7</v>
      </c>
      <c r="C15" s="48"/>
      <c r="D15" s="48"/>
      <c r="E15" s="48" t="s">
        <v>13</v>
      </c>
      <c r="F15" s="48"/>
      <c r="G15" s="48"/>
      <c r="H15" s="48" t="s">
        <v>15</v>
      </c>
      <c r="I15" s="48"/>
      <c r="J15" s="48"/>
      <c r="K15" s="48" t="s">
        <v>17</v>
      </c>
      <c r="L15" s="48"/>
      <c r="M15" s="48"/>
      <c r="N15" s="49" t="s">
        <v>19</v>
      </c>
      <c r="O15" s="49"/>
      <c r="P15" s="49"/>
      <c r="Q15" s="49" t="s">
        <v>23</v>
      </c>
      <c r="R15" s="49"/>
      <c r="S15" s="49"/>
      <c r="T15" s="49" t="s">
        <v>25</v>
      </c>
      <c r="U15" s="49"/>
      <c r="V15" s="49"/>
      <c r="W15" s="1"/>
    </row>
    <row r="16" spans="1:23">
      <c r="A16" s="13"/>
      <c r="B16" s="21" t="s">
        <v>65</v>
      </c>
      <c r="C16" s="21" t="s">
        <v>66</v>
      </c>
      <c r="D16" s="21" t="s">
        <v>67</v>
      </c>
      <c r="E16" s="21" t="s">
        <v>65</v>
      </c>
      <c r="F16" s="21" t="s">
        <v>66</v>
      </c>
      <c r="G16" s="21" t="s">
        <v>67</v>
      </c>
      <c r="H16" s="21" t="s">
        <v>65</v>
      </c>
      <c r="I16" s="21" t="s">
        <v>66</v>
      </c>
      <c r="J16" s="21" t="s">
        <v>67</v>
      </c>
      <c r="K16" s="21" t="s">
        <v>65</v>
      </c>
      <c r="L16" s="21" t="s">
        <v>66</v>
      </c>
      <c r="M16" s="21" t="s">
        <v>67</v>
      </c>
      <c r="N16" s="22" t="s">
        <v>65</v>
      </c>
      <c r="O16" s="22" t="s">
        <v>66</v>
      </c>
      <c r="P16" s="22" t="s">
        <v>67</v>
      </c>
      <c r="Q16" s="22" t="s">
        <v>65</v>
      </c>
      <c r="R16" s="22" t="s">
        <v>66</v>
      </c>
      <c r="S16" s="22" t="s">
        <v>67</v>
      </c>
      <c r="T16" s="22" t="s">
        <v>65</v>
      </c>
      <c r="U16" s="22" t="s">
        <v>66</v>
      </c>
      <c r="V16" s="22" t="s">
        <v>67</v>
      </c>
      <c r="W16" s="1"/>
    </row>
    <row r="17" spans="1:23" ht="34.049999999999997" customHeight="1">
      <c r="A17" s="14" t="s">
        <v>52</v>
      </c>
      <c r="B17" s="23">
        <f>Оценки!G19</f>
        <v>9</v>
      </c>
      <c r="C17" s="23">
        <f>Оценки!H19</f>
        <v>9</v>
      </c>
      <c r="D17" s="23">
        <f>Оценки!I19</f>
        <v>10</v>
      </c>
      <c r="E17" s="23">
        <f>Оценки!G20</f>
        <v>8</v>
      </c>
      <c r="F17" s="23">
        <f>Оценки!H20</f>
        <v>8</v>
      </c>
      <c r="G17" s="23">
        <f>Оценки!I20</f>
        <v>9</v>
      </c>
      <c r="H17" s="23">
        <f>Оценки!G21</f>
        <v>7</v>
      </c>
      <c r="I17" s="23">
        <f>Оценки!H21</f>
        <v>8</v>
      </c>
      <c r="J17" s="23">
        <f>Оценки!I21</f>
        <v>8</v>
      </c>
      <c r="K17" s="23">
        <f>Оценки!G22</f>
        <v>9</v>
      </c>
      <c r="L17" s="23">
        <f>Оценки!H22</f>
        <v>9</v>
      </c>
      <c r="M17" s="23">
        <f>Оценки!I22</f>
        <v>10</v>
      </c>
      <c r="N17" s="23">
        <f>Оценки!G23</f>
        <v>5</v>
      </c>
      <c r="O17" s="23">
        <f>Оценки!H23</f>
        <v>6</v>
      </c>
      <c r="P17" s="23">
        <f>Оценки!I23</f>
        <v>6</v>
      </c>
      <c r="Q17" s="23">
        <f>Оценки!G24</f>
        <v>4</v>
      </c>
      <c r="R17" s="23">
        <f>Оценки!H24</f>
        <v>4</v>
      </c>
      <c r="S17" s="23">
        <f>Оценки!I24</f>
        <v>5</v>
      </c>
      <c r="T17" s="23">
        <f>Оценки!G25</f>
        <v>5</v>
      </c>
      <c r="U17" s="23">
        <f>Оценки!H25</f>
        <v>5</v>
      </c>
      <c r="V17" s="23">
        <f>Оценки!I25</f>
        <v>5</v>
      </c>
      <c r="W17" s="1"/>
    </row>
    <row r="18" spans="1:23" ht="34.049999999999997" customHeight="1">
      <c r="A18" s="15" t="s">
        <v>60</v>
      </c>
      <c r="B18" s="24">
        <f>Оценки!G26</f>
        <v>9</v>
      </c>
      <c r="C18" s="24">
        <f>Оценки!H26</f>
        <v>9</v>
      </c>
      <c r="D18" s="24">
        <f>Оценки!I26</f>
        <v>10</v>
      </c>
      <c r="E18" s="24">
        <f>Оценки!G27</f>
        <v>9</v>
      </c>
      <c r="F18" s="24">
        <f>Оценки!H27</f>
        <v>9</v>
      </c>
      <c r="G18" s="24">
        <f>Оценки!I27</f>
        <v>9</v>
      </c>
      <c r="H18" s="24">
        <f>Оценки!G28</f>
        <v>9</v>
      </c>
      <c r="I18" s="24">
        <f>Оценки!H28</f>
        <v>10</v>
      </c>
      <c r="J18" s="24">
        <f>Оценки!I28</f>
        <v>10</v>
      </c>
      <c r="K18" s="24">
        <f>Оценки!G29</f>
        <v>8</v>
      </c>
      <c r="L18" s="24">
        <f>Оценки!H29</f>
        <v>8</v>
      </c>
      <c r="M18" s="24">
        <f>Оценки!I29</f>
        <v>8</v>
      </c>
      <c r="N18" s="24">
        <f>Оценки!G30</f>
        <v>8</v>
      </c>
      <c r="O18" s="24">
        <f>Оценки!H30</f>
        <v>8</v>
      </c>
      <c r="P18" s="24">
        <f>Оценки!I30</f>
        <v>9</v>
      </c>
      <c r="Q18" s="24">
        <f>Оценки!G31</f>
        <v>7</v>
      </c>
      <c r="R18" s="24">
        <f>Оценки!H31</f>
        <v>8</v>
      </c>
      <c r="S18" s="24">
        <f>Оценки!I31</f>
        <v>8</v>
      </c>
      <c r="T18" s="24">
        <f>Оценки!G32</f>
        <v>8</v>
      </c>
      <c r="U18" s="24">
        <f>Оценки!H32</f>
        <v>8</v>
      </c>
      <c r="V18" s="24">
        <f>Оценки!I32</f>
        <v>9</v>
      </c>
      <c r="W18" s="1"/>
    </row>
    <row r="19" spans="1:23" ht="34.049999999999997" customHeight="1">
      <c r="A19" s="14" t="s">
        <v>61</v>
      </c>
      <c r="B19" s="23">
        <f>Оценки!G33</f>
        <v>10</v>
      </c>
      <c r="C19" s="23">
        <f>Оценки!H33</f>
        <v>10</v>
      </c>
      <c r="D19" s="23">
        <f>Оценки!I33</f>
        <v>10</v>
      </c>
      <c r="E19" s="23">
        <f>Оценки!G34</f>
        <v>9</v>
      </c>
      <c r="F19" s="23">
        <f>Оценки!H34</f>
        <v>9</v>
      </c>
      <c r="G19" s="23">
        <f>Оценки!I34</f>
        <v>9</v>
      </c>
      <c r="H19" s="23">
        <f>Оценки!G35</f>
        <v>9</v>
      </c>
      <c r="I19" s="23">
        <f>Оценки!H35</f>
        <v>9</v>
      </c>
      <c r="J19" s="23">
        <f>Оценки!I35</f>
        <v>9</v>
      </c>
      <c r="K19" s="23">
        <f>Оценки!G36</f>
        <v>8</v>
      </c>
      <c r="L19" s="23">
        <f>Оценки!H36</f>
        <v>9</v>
      </c>
      <c r="M19" s="23">
        <f>Оценки!I36</f>
        <v>9</v>
      </c>
      <c r="N19" s="23">
        <f>Оценки!G37</f>
        <v>7</v>
      </c>
      <c r="O19" s="23">
        <f>Оценки!H37</f>
        <v>8</v>
      </c>
      <c r="P19" s="23">
        <f>Оценки!I37</f>
        <v>8</v>
      </c>
      <c r="Q19" s="23">
        <f>Оценки!G38</f>
        <v>6</v>
      </c>
      <c r="R19" s="23">
        <f>Оценки!H38</f>
        <v>7</v>
      </c>
      <c r="S19" s="23">
        <f>Оценки!I38</f>
        <v>7</v>
      </c>
      <c r="T19" s="23">
        <f>Оценки!G39</f>
        <v>7</v>
      </c>
      <c r="U19" s="23">
        <f>Оценки!H39</f>
        <v>8</v>
      </c>
      <c r="V19" s="23">
        <f>Оценки!I39</f>
        <v>8</v>
      </c>
      <c r="W19" s="1"/>
    </row>
    <row r="20" spans="1:23" ht="34.049999999999997" customHeight="1">
      <c r="A20" s="15" t="s">
        <v>62</v>
      </c>
      <c r="B20" s="24">
        <f>Оценки!G40</f>
        <v>7</v>
      </c>
      <c r="C20" s="24">
        <f>Оценки!H40</f>
        <v>7</v>
      </c>
      <c r="D20" s="24">
        <f>Оценки!I40</f>
        <v>8</v>
      </c>
      <c r="E20" s="24">
        <f>Оценки!G41</f>
        <v>6</v>
      </c>
      <c r="F20" s="24">
        <f>Оценки!H41</f>
        <v>7</v>
      </c>
      <c r="G20" s="24">
        <f>Оценки!I41</f>
        <v>7</v>
      </c>
      <c r="H20" s="24">
        <f>Оценки!G42</f>
        <v>6</v>
      </c>
      <c r="I20" s="24">
        <f>Оценки!H42</f>
        <v>6</v>
      </c>
      <c r="J20" s="24">
        <f>Оценки!I42</f>
        <v>7</v>
      </c>
      <c r="K20" s="24">
        <f>Оценки!G43</f>
        <v>7</v>
      </c>
      <c r="L20" s="24">
        <f>Оценки!H43</f>
        <v>7</v>
      </c>
      <c r="M20" s="24">
        <f>Оценки!I43</f>
        <v>8</v>
      </c>
      <c r="N20" s="24">
        <f>Оценки!G44</f>
        <v>4</v>
      </c>
      <c r="O20" s="24">
        <f>Оценки!H44</f>
        <v>5</v>
      </c>
      <c r="P20" s="24">
        <f>Оценки!I44</f>
        <v>5</v>
      </c>
      <c r="Q20" s="24">
        <f>Оценки!G45</f>
        <v>3</v>
      </c>
      <c r="R20" s="24">
        <f>Оценки!H45</f>
        <v>3</v>
      </c>
      <c r="S20" s="24">
        <f>Оценки!I45</f>
        <v>4</v>
      </c>
      <c r="T20" s="24">
        <f>Оценки!G46</f>
        <v>4</v>
      </c>
      <c r="U20" s="24">
        <f>Оценки!H46</f>
        <v>4</v>
      </c>
      <c r="V20" s="24">
        <f>Оценки!I46</f>
        <v>4</v>
      </c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</sheetData>
  <mergeCells count="10">
    <mergeCell ref="A1:W1"/>
    <mergeCell ref="A3:E3"/>
    <mergeCell ref="A14:V14"/>
    <mergeCell ref="B15:D15"/>
    <mergeCell ref="E15:G15"/>
    <mergeCell ref="H15:J15"/>
    <mergeCell ref="K15:M15"/>
    <mergeCell ref="N15:P15"/>
    <mergeCell ref="Q15:S15"/>
    <mergeCell ref="T15:V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workbookViewId="0">
      <pane xSplit="1" ySplit="4" topLeftCell="B5" activePane="bottomRight" state="frozen"/>
      <selection pane="topRight"/>
      <selection pane="bottomLeft"/>
      <selection pane="bottomRight" activeCell="C51" sqref="C51"/>
    </sheetView>
  </sheetViews>
  <sheetFormatPr defaultRowHeight="13.8"/>
  <cols>
    <col min="1" max="1" width="48" customWidth="1"/>
    <col min="2" max="2" width="9" customWidth="1"/>
    <col min="3" max="3" width="42" customWidth="1"/>
    <col min="4" max="22" width="9" customWidth="1"/>
    <col min="23" max="23" width="10" customWidth="1"/>
  </cols>
  <sheetData>
    <row r="1" spans="1:23" ht="31.95" customHeight="1">
      <c r="A1" s="54" t="s">
        <v>70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2"/>
    </row>
    <row r="2" spans="1:23" ht="22.05" customHeight="1">
      <c r="A2" s="53" t="s">
        <v>71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1"/>
    </row>
    <row r="3" spans="1:23" ht="24" customHeight="1">
      <c r="A3" s="46" t="s">
        <v>72</v>
      </c>
      <c r="B3" s="46"/>
      <c r="C3" s="46"/>
      <c r="D3" s="46"/>
      <c r="E3" s="46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"/>
    </row>
    <row r="4" spans="1:23">
      <c r="A4" s="13" t="s">
        <v>2</v>
      </c>
      <c r="B4" s="13" t="s">
        <v>65</v>
      </c>
      <c r="C4" s="13" t="s">
        <v>66</v>
      </c>
      <c r="D4" s="13" t="s">
        <v>67</v>
      </c>
      <c r="E4" s="13" t="s">
        <v>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5" t="s">
        <v>53</v>
      </c>
      <c r="B5" s="19">
        <f>Коллективные!B5</f>
        <v>0.9</v>
      </c>
      <c r="C5" s="19">
        <f>Коллективные!C5</f>
        <v>0.9</v>
      </c>
      <c r="D5" s="19">
        <f>Коллективные!D5</f>
        <v>1</v>
      </c>
      <c r="E5" s="7" t="s">
        <v>32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5" t="s">
        <v>54</v>
      </c>
      <c r="B6" s="19">
        <f>Коллективные!B6</f>
        <v>0.8</v>
      </c>
      <c r="C6" s="19">
        <f>Коллективные!C6</f>
        <v>0.8</v>
      </c>
      <c r="D6" s="19">
        <f>Коллективные!D6</f>
        <v>0.9</v>
      </c>
      <c r="E6" s="7" t="s">
        <v>32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5" t="s">
        <v>55</v>
      </c>
      <c r="B7" s="19">
        <f>Коллективные!B7</f>
        <v>0.7</v>
      </c>
      <c r="C7" s="19">
        <f>Коллективные!C7</f>
        <v>0.8</v>
      </c>
      <c r="D7" s="19">
        <f>Коллективные!D7</f>
        <v>0.8</v>
      </c>
      <c r="E7" s="7" t="s">
        <v>32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7.6">
      <c r="A8" s="5" t="s">
        <v>56</v>
      </c>
      <c r="B8" s="19">
        <f>Коллективные!B8</f>
        <v>0.8</v>
      </c>
      <c r="C8" s="19">
        <f>Коллективные!C8</f>
        <v>0.9</v>
      </c>
      <c r="D8" s="19">
        <f>Коллективные!D8</f>
        <v>0.9</v>
      </c>
      <c r="E8" s="7" t="s">
        <v>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6" t="s">
        <v>57</v>
      </c>
      <c r="B9" s="20">
        <f>Коллективные!B9</f>
        <v>0.9</v>
      </c>
      <c r="C9" s="20">
        <f>Коллективные!C9</f>
        <v>0.9</v>
      </c>
      <c r="D9" s="20">
        <f>Коллективные!D9</f>
        <v>1</v>
      </c>
      <c r="E9" s="8" t="s">
        <v>36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6" t="s">
        <v>58</v>
      </c>
      <c r="B10" s="20">
        <f>Коллективные!B10</f>
        <v>0.7</v>
      </c>
      <c r="C10" s="20">
        <f>Коллективные!C10</f>
        <v>0.8</v>
      </c>
      <c r="D10" s="20">
        <f>Коллективные!D10</f>
        <v>0.8</v>
      </c>
      <c r="E10" s="8" t="s">
        <v>36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6" t="s">
        <v>59</v>
      </c>
      <c r="B11" s="20">
        <f>Коллективные!B11</f>
        <v>0.7</v>
      </c>
      <c r="C11" s="20">
        <f>Коллективные!C11</f>
        <v>0.7</v>
      </c>
      <c r="D11" s="20">
        <f>Коллективные!D11</f>
        <v>0.8</v>
      </c>
      <c r="E11" s="8" t="s">
        <v>36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" customHeight="1">
      <c r="A14" s="46" t="s">
        <v>73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1"/>
    </row>
    <row r="15" spans="1:23">
      <c r="A15" s="13" t="s">
        <v>51</v>
      </c>
      <c r="B15" s="48" t="s">
        <v>7</v>
      </c>
      <c r="C15" s="48"/>
      <c r="D15" s="48"/>
      <c r="E15" s="48" t="s">
        <v>13</v>
      </c>
      <c r="F15" s="48"/>
      <c r="G15" s="48"/>
      <c r="H15" s="48" t="s">
        <v>15</v>
      </c>
      <c r="I15" s="48"/>
      <c r="J15" s="48"/>
      <c r="K15" s="48" t="s">
        <v>17</v>
      </c>
      <c r="L15" s="48"/>
      <c r="M15" s="48"/>
      <c r="N15" s="49" t="s">
        <v>19</v>
      </c>
      <c r="O15" s="49"/>
      <c r="P15" s="49"/>
      <c r="Q15" s="49" t="s">
        <v>23</v>
      </c>
      <c r="R15" s="49"/>
      <c r="S15" s="49"/>
      <c r="T15" s="49" t="s">
        <v>25</v>
      </c>
      <c r="U15" s="49"/>
      <c r="V15" s="49"/>
      <c r="W15" s="1"/>
    </row>
    <row r="16" spans="1:23">
      <c r="A16" s="13"/>
      <c r="B16" s="21" t="s">
        <v>65</v>
      </c>
      <c r="C16" s="21" t="s">
        <v>66</v>
      </c>
      <c r="D16" s="21" t="s">
        <v>67</v>
      </c>
      <c r="E16" s="21" t="s">
        <v>65</v>
      </c>
      <c r="F16" s="21" t="s">
        <v>66</v>
      </c>
      <c r="G16" s="21" t="s">
        <v>67</v>
      </c>
      <c r="H16" s="21" t="s">
        <v>65</v>
      </c>
      <c r="I16" s="21" t="s">
        <v>66</v>
      </c>
      <c r="J16" s="21" t="s">
        <v>67</v>
      </c>
      <c r="K16" s="21" t="s">
        <v>65</v>
      </c>
      <c r="L16" s="21" t="s">
        <v>66</v>
      </c>
      <c r="M16" s="21" t="s">
        <v>67</v>
      </c>
      <c r="N16" s="22" t="s">
        <v>65</v>
      </c>
      <c r="O16" s="22" t="s">
        <v>66</v>
      </c>
      <c r="P16" s="22" t="s">
        <v>67</v>
      </c>
      <c r="Q16" s="22" t="s">
        <v>65</v>
      </c>
      <c r="R16" s="22" t="s">
        <v>66</v>
      </c>
      <c r="S16" s="22" t="s">
        <v>67</v>
      </c>
      <c r="T16" s="22" t="s">
        <v>65</v>
      </c>
      <c r="U16" s="22" t="s">
        <v>66</v>
      </c>
      <c r="V16" s="22" t="s">
        <v>67</v>
      </c>
      <c r="W16" s="1"/>
    </row>
    <row r="17" spans="1:23" ht="36" customHeight="1">
      <c r="A17" s="27" t="s">
        <v>52</v>
      </c>
      <c r="B17" s="36">
        <f>Коллективные!B17/MAX(Коллективные!D17:D20)</f>
        <v>0.9</v>
      </c>
      <c r="C17" s="36">
        <f>Коллективные!C17/MAX(Коллективные!D17:D20)</f>
        <v>0.9</v>
      </c>
      <c r="D17" s="36">
        <f>Коллективные!D17/MAX(Коллективные!D17:D20)</f>
        <v>1</v>
      </c>
      <c r="E17" s="36">
        <f>Коллективные!E17/MAX(Коллективные!G17:G20)</f>
        <v>0.88888888888888884</v>
      </c>
      <c r="F17" s="36">
        <f>Коллективные!F17/MAX(Коллективные!G17:G20)</f>
        <v>0.88888888888888884</v>
      </c>
      <c r="G17" s="36">
        <f>Коллективные!G17/MAX(Коллективные!G17:G20)</f>
        <v>1</v>
      </c>
      <c r="H17" s="36">
        <f>Коллективные!H17/MAX(Коллективные!J17:J20)</f>
        <v>0.7</v>
      </c>
      <c r="I17" s="36">
        <f>Коллективные!I17/MAX(Коллективные!J17:J20)</f>
        <v>0.8</v>
      </c>
      <c r="J17" s="36">
        <f>Коллективные!J17/MAX(Коллективные!J17:J20)</f>
        <v>0.8</v>
      </c>
      <c r="K17" s="36">
        <f>Коллективные!K17/MAX(Коллективные!M17:M20)</f>
        <v>0.9</v>
      </c>
      <c r="L17" s="36">
        <f>Коллективные!L17/MAX(Коллективные!M17:M20)</f>
        <v>0.9</v>
      </c>
      <c r="M17" s="36">
        <f>Коллективные!M17/MAX(Коллективные!M17:M20)</f>
        <v>1</v>
      </c>
      <c r="N17" s="36">
        <f>MIN(Коллективные!N17:N20)/Коллективные!P17</f>
        <v>0.66666666666666663</v>
      </c>
      <c r="O17" s="36">
        <f>MIN(Коллективные!N17:N20)/Коллективные!O17</f>
        <v>0.66666666666666663</v>
      </c>
      <c r="P17" s="36">
        <f>MIN(Коллективные!N17:N20)/Коллективные!N17</f>
        <v>0.8</v>
      </c>
      <c r="Q17" s="36">
        <f>MIN(Коллективные!Q17:Q20)/Коллективные!S17</f>
        <v>0.6</v>
      </c>
      <c r="R17" s="36">
        <f>MIN(Коллективные!Q17:Q20)/Коллективные!R17</f>
        <v>0.75</v>
      </c>
      <c r="S17" s="36">
        <f>MIN(Коллективные!Q17:Q20)/Коллективные!Q17</f>
        <v>0.75</v>
      </c>
      <c r="T17" s="36">
        <f>MIN(Коллективные!T17:T20)/Коллективные!V17</f>
        <v>0.8</v>
      </c>
      <c r="U17" s="36">
        <f>MIN(Коллективные!T17:T20)/Коллективные!U17</f>
        <v>0.8</v>
      </c>
      <c r="V17" s="36">
        <f>MIN(Коллективные!T17:T20)/Коллективные!T17</f>
        <v>0.8</v>
      </c>
      <c r="W17" s="1"/>
    </row>
    <row r="18" spans="1:23" ht="36" customHeight="1">
      <c r="A18" s="28" t="s">
        <v>60</v>
      </c>
      <c r="B18" s="37">
        <f>Коллективные!B18/MAX(Коллективные!D17:D20)</f>
        <v>0.9</v>
      </c>
      <c r="C18" s="37">
        <f>Коллективные!C18/MAX(Коллективные!D17:D20)</f>
        <v>0.9</v>
      </c>
      <c r="D18" s="37">
        <f>Коллективные!D18/MAX(Коллективные!D17:D20)</f>
        <v>1</v>
      </c>
      <c r="E18" s="37">
        <f>Коллективные!E18/MAX(Коллективные!G17:G20)</f>
        <v>1</v>
      </c>
      <c r="F18" s="37">
        <f>Коллективные!F18/MAX(Коллективные!G17:G20)</f>
        <v>1</v>
      </c>
      <c r="G18" s="37">
        <f>Коллективные!G18/MAX(Коллективные!G17:G20)</f>
        <v>1</v>
      </c>
      <c r="H18" s="37">
        <f>Коллективные!H18/MAX(Коллективные!J17:J20)</f>
        <v>0.9</v>
      </c>
      <c r="I18" s="37">
        <f>Коллективные!I18/MAX(Коллективные!J17:J20)</f>
        <v>1</v>
      </c>
      <c r="J18" s="37">
        <f>Коллективные!J18/MAX(Коллективные!J17:J20)</f>
        <v>1</v>
      </c>
      <c r="K18" s="37">
        <f>Коллективные!K18/MAX(Коллективные!M17:M20)</f>
        <v>0.8</v>
      </c>
      <c r="L18" s="37">
        <f>Коллективные!L18/MAX(Коллективные!M17:M20)</f>
        <v>0.8</v>
      </c>
      <c r="M18" s="37">
        <f>Коллективные!M18/MAX(Коллективные!M17:M20)</f>
        <v>0.8</v>
      </c>
      <c r="N18" s="37">
        <f>MIN(Коллективные!N17:N20)/Коллективные!P18</f>
        <v>0.44444444444444442</v>
      </c>
      <c r="O18" s="37">
        <f>MIN(Коллективные!N17:N20)/Коллективные!O18</f>
        <v>0.5</v>
      </c>
      <c r="P18" s="37">
        <f>MIN(Коллективные!N17:N20)/Коллективные!N18</f>
        <v>0.5</v>
      </c>
      <c r="Q18" s="37">
        <f>MIN(Коллективные!Q17:Q20)/Коллективные!S18</f>
        <v>0.375</v>
      </c>
      <c r="R18" s="37">
        <f>MIN(Коллективные!Q17:Q20)/Коллективные!R18</f>
        <v>0.375</v>
      </c>
      <c r="S18" s="37">
        <f>MIN(Коллективные!Q17:Q20)/Коллективные!Q18</f>
        <v>0.42857142857142855</v>
      </c>
      <c r="T18" s="37">
        <f>MIN(Коллективные!T17:T20)/Коллективные!V18</f>
        <v>0.44444444444444442</v>
      </c>
      <c r="U18" s="37">
        <f>MIN(Коллективные!T17:T20)/Коллективные!U18</f>
        <v>0.5</v>
      </c>
      <c r="V18" s="37">
        <f>MIN(Коллективные!T17:T20)/Коллективные!T18</f>
        <v>0.5</v>
      </c>
      <c r="W18" s="1"/>
    </row>
    <row r="19" spans="1:23" ht="36" customHeight="1">
      <c r="A19" s="27" t="s">
        <v>61</v>
      </c>
      <c r="B19" s="36">
        <f>Коллективные!B19/MAX(Коллективные!D17:D20)</f>
        <v>1</v>
      </c>
      <c r="C19" s="36">
        <f>Коллективные!C19/MAX(Коллективные!D17:D20)</f>
        <v>1</v>
      </c>
      <c r="D19" s="36">
        <f>Коллективные!D19/MAX(Коллективные!D17:D20)</f>
        <v>1</v>
      </c>
      <c r="E19" s="36">
        <f>Коллективные!E19/MAX(Коллективные!G17:G20)</f>
        <v>1</v>
      </c>
      <c r="F19" s="36">
        <f>Коллективные!F19/MAX(Коллективные!G17:G20)</f>
        <v>1</v>
      </c>
      <c r="G19" s="36">
        <f>Коллективные!G19/MAX(Коллективные!G17:G20)</f>
        <v>1</v>
      </c>
      <c r="H19" s="36">
        <f>Коллективные!H19/MAX(Коллективные!J17:J20)</f>
        <v>0.9</v>
      </c>
      <c r="I19" s="36">
        <f>Коллективные!I19/MAX(Коллективные!J17:J20)</f>
        <v>0.9</v>
      </c>
      <c r="J19" s="36">
        <f>Коллективные!J19/MAX(Коллективные!J17:J20)</f>
        <v>0.9</v>
      </c>
      <c r="K19" s="36">
        <f>Коллективные!K19/MAX(Коллективные!M17:M20)</f>
        <v>0.8</v>
      </c>
      <c r="L19" s="36">
        <f>Коллективные!L19/MAX(Коллективные!M17:M20)</f>
        <v>0.9</v>
      </c>
      <c r="M19" s="36">
        <f>Коллективные!M19/MAX(Коллективные!M17:M20)</f>
        <v>0.9</v>
      </c>
      <c r="N19" s="36">
        <f>MIN(Коллективные!N17:N20)/Коллективные!P19</f>
        <v>0.5</v>
      </c>
      <c r="O19" s="36">
        <f>MIN(Коллективные!N17:N20)/Коллективные!O19</f>
        <v>0.5</v>
      </c>
      <c r="P19" s="36">
        <f>MIN(Коллективные!N17:N20)/Коллективные!N19</f>
        <v>0.5714285714285714</v>
      </c>
      <c r="Q19" s="36">
        <f>MIN(Коллективные!Q17:Q20)/Коллективные!S19</f>
        <v>0.42857142857142855</v>
      </c>
      <c r="R19" s="36">
        <f>MIN(Коллективные!Q17:Q20)/Коллективные!R19</f>
        <v>0.42857142857142855</v>
      </c>
      <c r="S19" s="36">
        <f>MIN(Коллективные!Q17:Q20)/Коллективные!Q19</f>
        <v>0.5</v>
      </c>
      <c r="T19" s="36">
        <f>MIN(Коллективные!T17:T20)/Коллективные!V19</f>
        <v>0.5</v>
      </c>
      <c r="U19" s="36">
        <f>MIN(Коллективные!T17:T20)/Коллективные!U19</f>
        <v>0.5</v>
      </c>
      <c r="V19" s="36">
        <f>MIN(Коллективные!T17:T20)/Коллективные!T19</f>
        <v>0.5714285714285714</v>
      </c>
      <c r="W19" s="1"/>
    </row>
    <row r="20" spans="1:23" ht="36" customHeight="1">
      <c r="A20" s="28" t="s">
        <v>62</v>
      </c>
      <c r="B20" s="37">
        <f>Коллективные!B20/MAX(Коллективные!D17:D20)</f>
        <v>0.7</v>
      </c>
      <c r="C20" s="37">
        <f>Коллективные!C20/MAX(Коллективные!D17:D20)</f>
        <v>0.7</v>
      </c>
      <c r="D20" s="37">
        <f>Коллективные!D20/MAX(Коллективные!D17:D20)</f>
        <v>0.8</v>
      </c>
      <c r="E20" s="37">
        <f>Коллективные!E20/MAX(Коллективные!G17:G20)</f>
        <v>0.66666666666666663</v>
      </c>
      <c r="F20" s="37">
        <f>Коллективные!F20/MAX(Коллективные!G17:G20)</f>
        <v>0.77777777777777779</v>
      </c>
      <c r="G20" s="37">
        <f>Коллективные!G20/MAX(Коллективные!G17:G20)</f>
        <v>0.77777777777777779</v>
      </c>
      <c r="H20" s="37">
        <f>Коллективные!H20/MAX(Коллективные!J17:J20)</f>
        <v>0.6</v>
      </c>
      <c r="I20" s="37">
        <f>Коллективные!I20/MAX(Коллективные!J17:J20)</f>
        <v>0.6</v>
      </c>
      <c r="J20" s="37">
        <f>Коллективные!J20/MAX(Коллективные!J17:J20)</f>
        <v>0.7</v>
      </c>
      <c r="K20" s="37">
        <f>Коллективные!K20/MAX(Коллективные!M17:M20)</f>
        <v>0.7</v>
      </c>
      <c r="L20" s="37">
        <f>Коллективные!L20/MAX(Коллективные!M17:M20)</f>
        <v>0.7</v>
      </c>
      <c r="M20" s="37">
        <f>Коллективные!M20/MAX(Коллективные!M17:M20)</f>
        <v>0.8</v>
      </c>
      <c r="N20" s="37">
        <f>MIN(Коллективные!N17:N20)/Коллективные!P20</f>
        <v>0.8</v>
      </c>
      <c r="O20" s="37">
        <f>MIN(Коллективные!N17:N20)/Коллективные!O20</f>
        <v>0.8</v>
      </c>
      <c r="P20" s="37">
        <f>MIN(Коллективные!N17:N20)/Коллективные!N20</f>
        <v>1</v>
      </c>
      <c r="Q20" s="37">
        <f>MIN(Коллективные!Q17:Q20)/Коллективные!S20</f>
        <v>0.75</v>
      </c>
      <c r="R20" s="37">
        <f>MIN(Коллективные!Q17:Q20)/Коллективные!R20</f>
        <v>1</v>
      </c>
      <c r="S20" s="37">
        <f>MIN(Коллективные!Q17:Q20)/Коллективные!Q20</f>
        <v>1</v>
      </c>
      <c r="T20" s="37">
        <f>MIN(Коллективные!T17:T20)/Коллективные!V20</f>
        <v>1</v>
      </c>
      <c r="U20" s="37">
        <f>MIN(Коллективные!T17:T20)/Коллективные!U20</f>
        <v>1</v>
      </c>
      <c r="V20" s="37">
        <f>MIN(Коллективные!T17:T20)/Коллективные!T20</f>
        <v>1</v>
      </c>
      <c r="W20" s="1"/>
    </row>
    <row r="21" spans="1:23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"/>
    </row>
    <row r="22" spans="1:2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"/>
    </row>
    <row r="23" spans="1:23" ht="24" customHeight="1">
      <c r="A23" s="46" t="s">
        <v>74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1"/>
    </row>
    <row r="24" spans="1:23">
      <c r="A24" s="13" t="s">
        <v>51</v>
      </c>
      <c r="B24" s="51" t="s">
        <v>7</v>
      </c>
      <c r="C24" s="51"/>
      <c r="D24" s="51"/>
      <c r="E24" s="51" t="s">
        <v>13</v>
      </c>
      <c r="F24" s="51"/>
      <c r="G24" s="51"/>
      <c r="H24" s="51" t="s">
        <v>15</v>
      </c>
      <c r="I24" s="51"/>
      <c r="J24" s="51"/>
      <c r="K24" s="51" t="s">
        <v>17</v>
      </c>
      <c r="L24" s="51"/>
      <c r="M24" s="51"/>
      <c r="N24" s="52" t="s">
        <v>19</v>
      </c>
      <c r="O24" s="52"/>
      <c r="P24" s="52"/>
      <c r="Q24" s="52" t="s">
        <v>23</v>
      </c>
      <c r="R24" s="52"/>
      <c r="S24" s="52"/>
      <c r="T24" s="52" t="s">
        <v>25</v>
      </c>
      <c r="U24" s="52"/>
      <c r="V24" s="52"/>
      <c r="W24" s="1"/>
    </row>
    <row r="25" spans="1:23">
      <c r="A25" s="13"/>
      <c r="B25" s="25" t="s">
        <v>65</v>
      </c>
      <c r="C25" s="25" t="s">
        <v>66</v>
      </c>
      <c r="D25" s="25" t="s">
        <v>67</v>
      </c>
      <c r="E25" s="25" t="s">
        <v>65</v>
      </c>
      <c r="F25" s="25" t="s">
        <v>66</v>
      </c>
      <c r="G25" s="25" t="s">
        <v>67</v>
      </c>
      <c r="H25" s="25" t="s">
        <v>65</v>
      </c>
      <c r="I25" s="25" t="s">
        <v>66</v>
      </c>
      <c r="J25" s="25" t="s">
        <v>67</v>
      </c>
      <c r="K25" s="25" t="s">
        <v>65</v>
      </c>
      <c r="L25" s="25" t="s">
        <v>66</v>
      </c>
      <c r="M25" s="25" t="s">
        <v>67</v>
      </c>
      <c r="N25" s="26" t="s">
        <v>65</v>
      </c>
      <c r="O25" s="26" t="s">
        <v>66</v>
      </c>
      <c r="P25" s="26" t="s">
        <v>67</v>
      </c>
      <c r="Q25" s="26" t="s">
        <v>65</v>
      </c>
      <c r="R25" s="26" t="s">
        <v>66</v>
      </c>
      <c r="S25" s="26" t="s">
        <v>67</v>
      </c>
      <c r="T25" s="26" t="s">
        <v>65</v>
      </c>
      <c r="U25" s="26" t="s">
        <v>66</v>
      </c>
      <c r="V25" s="26" t="s">
        <v>67</v>
      </c>
      <c r="W25" s="1"/>
    </row>
    <row r="26" spans="1:23" ht="36" customHeight="1">
      <c r="A26" s="28" t="s">
        <v>52</v>
      </c>
      <c r="B26" s="37">
        <f>B17*$B$5</f>
        <v>0.81</v>
      </c>
      <c r="C26" s="37">
        <f>C17*$C$5</f>
        <v>0.81</v>
      </c>
      <c r="D26" s="37">
        <f>D17*$D$5</f>
        <v>1</v>
      </c>
      <c r="E26" s="37">
        <f>E17*$B$6</f>
        <v>0.71111111111111114</v>
      </c>
      <c r="F26" s="37">
        <f>F17*$C$6</f>
        <v>0.71111111111111114</v>
      </c>
      <c r="G26" s="37">
        <f>G17*$D$6</f>
        <v>0.9</v>
      </c>
      <c r="H26" s="37">
        <f>H17*$B$7</f>
        <v>0.48999999999999994</v>
      </c>
      <c r="I26" s="37">
        <f>I17*$C$7</f>
        <v>0.64000000000000012</v>
      </c>
      <c r="J26" s="37">
        <f>J17*$D$7</f>
        <v>0.64000000000000012</v>
      </c>
      <c r="K26" s="37">
        <f>K17*$B$8</f>
        <v>0.72000000000000008</v>
      </c>
      <c r="L26" s="37">
        <f>L17*$C$8</f>
        <v>0.81</v>
      </c>
      <c r="M26" s="37">
        <f>M17*$D$8</f>
        <v>0.9</v>
      </c>
      <c r="N26" s="37">
        <f>N17*$B$9</f>
        <v>0.6</v>
      </c>
      <c r="O26" s="37">
        <f>O17*$C$9</f>
        <v>0.6</v>
      </c>
      <c r="P26" s="37">
        <f>P17*$D$9</f>
        <v>0.8</v>
      </c>
      <c r="Q26" s="37">
        <f>Q17*$B$10</f>
        <v>0.42</v>
      </c>
      <c r="R26" s="37">
        <f>R17*$C$10</f>
        <v>0.60000000000000009</v>
      </c>
      <c r="S26" s="37">
        <f>S17*$D$10</f>
        <v>0.60000000000000009</v>
      </c>
      <c r="T26" s="37">
        <f>T17*$B$11</f>
        <v>0.55999999999999994</v>
      </c>
      <c r="U26" s="37">
        <f>U17*$C$11</f>
        <v>0.55999999999999994</v>
      </c>
      <c r="V26" s="37">
        <f>V17*$D$11</f>
        <v>0.64000000000000012</v>
      </c>
      <c r="W26" s="1"/>
    </row>
    <row r="27" spans="1:23" ht="36" customHeight="1">
      <c r="A27" s="27" t="s">
        <v>60</v>
      </c>
      <c r="B27" s="36">
        <f>B18*$B$5</f>
        <v>0.81</v>
      </c>
      <c r="C27" s="36">
        <f>C18*$C$5</f>
        <v>0.81</v>
      </c>
      <c r="D27" s="36">
        <f>D18*$D$5</f>
        <v>1</v>
      </c>
      <c r="E27" s="36">
        <f>E18*$B$6</f>
        <v>0.8</v>
      </c>
      <c r="F27" s="36">
        <f>F18*$C$6</f>
        <v>0.8</v>
      </c>
      <c r="G27" s="36">
        <f>G18*$D$6</f>
        <v>0.9</v>
      </c>
      <c r="H27" s="36">
        <f>H18*$B$7</f>
        <v>0.63</v>
      </c>
      <c r="I27" s="36">
        <f>I18*$C$7</f>
        <v>0.8</v>
      </c>
      <c r="J27" s="36">
        <f>J18*$D$7</f>
        <v>0.8</v>
      </c>
      <c r="K27" s="36">
        <f>K18*$B$8</f>
        <v>0.64000000000000012</v>
      </c>
      <c r="L27" s="36">
        <f>L18*$C$8</f>
        <v>0.72000000000000008</v>
      </c>
      <c r="M27" s="36">
        <f>M18*$D$8</f>
        <v>0.72000000000000008</v>
      </c>
      <c r="N27" s="36">
        <f>N18*$B$9</f>
        <v>0.39999999999999997</v>
      </c>
      <c r="O27" s="36">
        <f>O18*$C$9</f>
        <v>0.45</v>
      </c>
      <c r="P27" s="36">
        <f>P18*$D$9</f>
        <v>0.5</v>
      </c>
      <c r="Q27" s="36">
        <f>Q18*$B$10</f>
        <v>0.26249999999999996</v>
      </c>
      <c r="R27" s="36">
        <f>R18*$C$10</f>
        <v>0.30000000000000004</v>
      </c>
      <c r="S27" s="36">
        <f>S18*$D$10</f>
        <v>0.34285714285714286</v>
      </c>
      <c r="T27" s="36">
        <f>T18*$B$11</f>
        <v>0.31111111111111106</v>
      </c>
      <c r="U27" s="36">
        <f>U18*$C$11</f>
        <v>0.35</v>
      </c>
      <c r="V27" s="36">
        <f>V18*$D$11</f>
        <v>0.4</v>
      </c>
      <c r="W27" s="1"/>
    </row>
    <row r="28" spans="1:23" ht="36" customHeight="1">
      <c r="A28" s="28" t="s">
        <v>61</v>
      </c>
      <c r="B28" s="37">
        <f>B19*$B$5</f>
        <v>0.9</v>
      </c>
      <c r="C28" s="37">
        <f>C19*$C$5</f>
        <v>0.9</v>
      </c>
      <c r="D28" s="37">
        <f>D19*$D$5</f>
        <v>1</v>
      </c>
      <c r="E28" s="37">
        <f>E19*$B$6</f>
        <v>0.8</v>
      </c>
      <c r="F28" s="37">
        <f>F19*$C$6</f>
        <v>0.8</v>
      </c>
      <c r="G28" s="37">
        <f>G19*$D$6</f>
        <v>0.9</v>
      </c>
      <c r="H28" s="37">
        <f>H19*$B$7</f>
        <v>0.63</v>
      </c>
      <c r="I28" s="37">
        <f>I19*$C$7</f>
        <v>0.72000000000000008</v>
      </c>
      <c r="J28" s="37">
        <f>J19*$D$7</f>
        <v>0.72000000000000008</v>
      </c>
      <c r="K28" s="37">
        <f>K19*$B$8</f>
        <v>0.64000000000000012</v>
      </c>
      <c r="L28" s="37">
        <f>L19*$C$8</f>
        <v>0.81</v>
      </c>
      <c r="M28" s="37">
        <f>M19*$D$8</f>
        <v>0.81</v>
      </c>
      <c r="N28" s="37">
        <f>N19*$B$9</f>
        <v>0.45</v>
      </c>
      <c r="O28" s="37">
        <f>O19*$C$9</f>
        <v>0.45</v>
      </c>
      <c r="P28" s="37">
        <f>P19*$D$9</f>
        <v>0.5714285714285714</v>
      </c>
      <c r="Q28" s="37">
        <f>Q19*$B$10</f>
        <v>0.3</v>
      </c>
      <c r="R28" s="37">
        <f>R19*$C$10</f>
        <v>0.34285714285714286</v>
      </c>
      <c r="S28" s="37">
        <f>S19*$D$10</f>
        <v>0.4</v>
      </c>
      <c r="T28" s="37">
        <f>T19*$B$11</f>
        <v>0.35</v>
      </c>
      <c r="U28" s="37">
        <f>U19*$C$11</f>
        <v>0.35</v>
      </c>
      <c r="V28" s="37">
        <f>V19*$D$11</f>
        <v>0.45714285714285713</v>
      </c>
      <c r="W28" s="1"/>
    </row>
    <row r="29" spans="1:23" ht="36" customHeight="1">
      <c r="A29" s="27" t="s">
        <v>62</v>
      </c>
      <c r="B29" s="36">
        <f>B20*$B$5</f>
        <v>0.63</v>
      </c>
      <c r="C29" s="36">
        <f>C20*$C$5</f>
        <v>0.63</v>
      </c>
      <c r="D29" s="36">
        <f>D20*$D$5</f>
        <v>0.8</v>
      </c>
      <c r="E29" s="36">
        <f>E20*$B$6</f>
        <v>0.53333333333333333</v>
      </c>
      <c r="F29" s="36">
        <f>F20*$C$6</f>
        <v>0.62222222222222223</v>
      </c>
      <c r="G29" s="36">
        <f>G20*$D$6</f>
        <v>0.70000000000000007</v>
      </c>
      <c r="H29" s="36">
        <f>H20*$B$7</f>
        <v>0.42</v>
      </c>
      <c r="I29" s="36">
        <f>I20*$C$7</f>
        <v>0.48</v>
      </c>
      <c r="J29" s="36">
        <f>J20*$D$7</f>
        <v>0.55999999999999994</v>
      </c>
      <c r="K29" s="36">
        <f>K20*$B$8</f>
        <v>0.55999999999999994</v>
      </c>
      <c r="L29" s="36">
        <f>L20*$C$8</f>
        <v>0.63</v>
      </c>
      <c r="M29" s="36">
        <f>M20*$D$8</f>
        <v>0.72000000000000008</v>
      </c>
      <c r="N29" s="36">
        <f>N20*$B$9</f>
        <v>0.72000000000000008</v>
      </c>
      <c r="O29" s="36">
        <f>O20*$C$9</f>
        <v>0.72000000000000008</v>
      </c>
      <c r="P29" s="36">
        <f>P20*$D$9</f>
        <v>1</v>
      </c>
      <c r="Q29" s="36">
        <f>Q20*$B$10</f>
        <v>0.52499999999999991</v>
      </c>
      <c r="R29" s="36">
        <f>R20*$C$10</f>
        <v>0.8</v>
      </c>
      <c r="S29" s="36">
        <f>S20*$D$10</f>
        <v>0.8</v>
      </c>
      <c r="T29" s="36">
        <f>T20*$B$11</f>
        <v>0.7</v>
      </c>
      <c r="U29" s="36">
        <f>U20*$C$11</f>
        <v>0.7</v>
      </c>
      <c r="V29" s="36">
        <f>V20*$D$11</f>
        <v>0.8</v>
      </c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4" customHeight="1">
      <c r="A32" s="46" t="s">
        <v>75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1"/>
    </row>
    <row r="33" spans="1:23">
      <c r="A33" s="13" t="s">
        <v>76</v>
      </c>
      <c r="B33" s="48" t="s">
        <v>7</v>
      </c>
      <c r="C33" s="48"/>
      <c r="D33" s="48"/>
      <c r="E33" s="48" t="s">
        <v>13</v>
      </c>
      <c r="F33" s="48"/>
      <c r="G33" s="48"/>
      <c r="H33" s="48" t="s">
        <v>15</v>
      </c>
      <c r="I33" s="48"/>
      <c r="J33" s="48"/>
      <c r="K33" s="48" t="s">
        <v>17</v>
      </c>
      <c r="L33" s="48"/>
      <c r="M33" s="48"/>
      <c r="N33" s="49" t="s">
        <v>19</v>
      </c>
      <c r="O33" s="49"/>
      <c r="P33" s="49"/>
      <c r="Q33" s="49" t="s">
        <v>23</v>
      </c>
      <c r="R33" s="49"/>
      <c r="S33" s="49"/>
      <c r="T33" s="49" t="s">
        <v>25</v>
      </c>
      <c r="U33" s="49"/>
      <c r="V33" s="49"/>
      <c r="W33" s="1"/>
    </row>
    <row r="34" spans="1:23">
      <c r="A34" s="13"/>
      <c r="B34" s="21" t="s">
        <v>65</v>
      </c>
      <c r="C34" s="21" t="s">
        <v>66</v>
      </c>
      <c r="D34" s="21" t="s">
        <v>67</v>
      </c>
      <c r="E34" s="21" t="s">
        <v>65</v>
      </c>
      <c r="F34" s="21" t="s">
        <v>66</v>
      </c>
      <c r="G34" s="21" t="s">
        <v>67</v>
      </c>
      <c r="H34" s="21" t="s">
        <v>65</v>
      </c>
      <c r="I34" s="21" t="s">
        <v>66</v>
      </c>
      <c r="J34" s="21" t="s">
        <v>67</v>
      </c>
      <c r="K34" s="21" t="s">
        <v>65</v>
      </c>
      <c r="L34" s="21" t="s">
        <v>66</v>
      </c>
      <c r="M34" s="21" t="s">
        <v>67</v>
      </c>
      <c r="N34" s="22" t="s">
        <v>65</v>
      </c>
      <c r="O34" s="22" t="s">
        <v>66</v>
      </c>
      <c r="P34" s="22" t="s">
        <v>67</v>
      </c>
      <c r="Q34" s="22" t="s">
        <v>65</v>
      </c>
      <c r="R34" s="22" t="s">
        <v>66</v>
      </c>
      <c r="S34" s="22" t="s">
        <v>67</v>
      </c>
      <c r="T34" s="22" t="s">
        <v>65</v>
      </c>
      <c r="U34" s="22" t="s">
        <v>66</v>
      </c>
      <c r="V34" s="22" t="s">
        <v>67</v>
      </c>
      <c r="W34" s="1"/>
    </row>
    <row r="35" spans="1:23">
      <c r="A35" s="7" t="s">
        <v>77</v>
      </c>
      <c r="B35" s="25">
        <f>MAX(D26:D29)</f>
        <v>1</v>
      </c>
      <c r="C35" s="25">
        <f>MAX(D26:D29)</f>
        <v>1</v>
      </c>
      <c r="D35" s="25">
        <f>MAX(D26:D29)</f>
        <v>1</v>
      </c>
      <c r="E35" s="25">
        <f>MAX(G26:G29)</f>
        <v>0.9</v>
      </c>
      <c r="F35" s="25">
        <f>MAX(G26:G29)</f>
        <v>0.9</v>
      </c>
      <c r="G35" s="25">
        <f>MAX(G26:G29)</f>
        <v>0.9</v>
      </c>
      <c r="H35" s="25">
        <f>MAX(J26:J29)</f>
        <v>0.8</v>
      </c>
      <c r="I35" s="25">
        <f>MAX(J26:J29)</f>
        <v>0.8</v>
      </c>
      <c r="J35" s="25">
        <f>MAX(J26:J29)</f>
        <v>0.8</v>
      </c>
      <c r="K35" s="25">
        <f>MAX(M26:M29)</f>
        <v>0.9</v>
      </c>
      <c r="L35" s="25">
        <f>MAX(M26:M29)</f>
        <v>0.9</v>
      </c>
      <c r="M35" s="25">
        <f>MAX(M26:M29)</f>
        <v>0.9</v>
      </c>
      <c r="N35" s="25">
        <f>MAX(P26:P29)</f>
        <v>1</v>
      </c>
      <c r="O35" s="25">
        <f>MAX(P26:P29)</f>
        <v>1</v>
      </c>
      <c r="P35" s="25">
        <f>MAX(P26:P29)</f>
        <v>1</v>
      </c>
      <c r="Q35" s="25">
        <f>MAX(S26:S29)</f>
        <v>0.8</v>
      </c>
      <c r="R35" s="25">
        <f>MAX(S26:S29)</f>
        <v>0.8</v>
      </c>
      <c r="S35" s="25">
        <f>MAX(S26:S29)</f>
        <v>0.8</v>
      </c>
      <c r="T35" s="25">
        <f>MAX(V26:V29)</f>
        <v>0.8</v>
      </c>
      <c r="U35" s="25">
        <f>MAX(V26:V29)</f>
        <v>0.8</v>
      </c>
      <c r="V35" s="25">
        <f>MAX(V26:V29)</f>
        <v>0.8</v>
      </c>
      <c r="W35" s="1"/>
    </row>
    <row r="36" spans="1:23">
      <c r="A36" s="8" t="s">
        <v>78</v>
      </c>
      <c r="B36" s="26">
        <f>MIN(B26:B29)</f>
        <v>0.63</v>
      </c>
      <c r="C36" s="26">
        <f>MIN(B26:B29)</f>
        <v>0.63</v>
      </c>
      <c r="D36" s="26">
        <f>MIN(B26:B29)</f>
        <v>0.63</v>
      </c>
      <c r="E36" s="26">
        <f>MIN(E26:E29)</f>
        <v>0.53333333333333333</v>
      </c>
      <c r="F36" s="26">
        <f>MIN(E26:E29)</f>
        <v>0.53333333333333333</v>
      </c>
      <c r="G36" s="26">
        <f>MIN(E26:E29)</f>
        <v>0.53333333333333333</v>
      </c>
      <c r="H36" s="26">
        <f>MIN(H26:H29)</f>
        <v>0.42</v>
      </c>
      <c r="I36" s="26">
        <f>MIN(H26:H29)</f>
        <v>0.42</v>
      </c>
      <c r="J36" s="26">
        <f>MIN(H26:H29)</f>
        <v>0.42</v>
      </c>
      <c r="K36" s="26">
        <f>MIN(K26:K29)</f>
        <v>0.55999999999999994</v>
      </c>
      <c r="L36" s="26">
        <f>MIN(K26:K29)</f>
        <v>0.55999999999999994</v>
      </c>
      <c r="M36" s="26">
        <f>MIN(K26:K29)</f>
        <v>0.55999999999999994</v>
      </c>
      <c r="N36" s="26">
        <f>MIN(N26:N29)</f>
        <v>0.39999999999999997</v>
      </c>
      <c r="O36" s="26">
        <f>MIN(N26:N29)</f>
        <v>0.39999999999999997</v>
      </c>
      <c r="P36" s="26">
        <f>MIN(N26:N29)</f>
        <v>0.39999999999999997</v>
      </c>
      <c r="Q36" s="26">
        <f>MIN(Q26:Q29)</f>
        <v>0.26249999999999996</v>
      </c>
      <c r="R36" s="26">
        <f>MIN(Q26:Q29)</f>
        <v>0.26249999999999996</v>
      </c>
      <c r="S36" s="26">
        <f>MIN(Q26:Q29)</f>
        <v>0.26249999999999996</v>
      </c>
      <c r="T36" s="26">
        <f>MIN(T26:T29)</f>
        <v>0.31111111111111106</v>
      </c>
      <c r="U36" s="26">
        <f>MIN(T26:T29)</f>
        <v>0.31111111111111106</v>
      </c>
      <c r="V36" s="26">
        <f>MIN(T26:T29)</f>
        <v>0.31111111111111106</v>
      </c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24" customHeight="1">
      <c r="A40" s="46" t="s">
        <v>79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11"/>
      <c r="S40" s="11"/>
      <c r="T40" s="11"/>
      <c r="U40" s="11"/>
      <c r="V40" s="11"/>
      <c r="W40" s="1"/>
    </row>
    <row r="41" spans="1:23">
      <c r="A41" s="13" t="s">
        <v>51</v>
      </c>
      <c r="B41" s="13" t="s">
        <v>80</v>
      </c>
      <c r="C41" s="13" t="s">
        <v>81</v>
      </c>
      <c r="D41" s="13" t="s">
        <v>82</v>
      </c>
      <c r="E41" s="13" t="s">
        <v>83</v>
      </c>
      <c r="F41" s="13" t="s">
        <v>84</v>
      </c>
      <c r="G41" s="13" t="s">
        <v>85</v>
      </c>
      <c r="H41" s="13" t="s">
        <v>86</v>
      </c>
      <c r="I41" s="13" t="s">
        <v>87</v>
      </c>
      <c r="J41" s="13" t="s">
        <v>88</v>
      </c>
      <c r="K41" s="13" t="s">
        <v>89</v>
      </c>
      <c r="L41" s="13" t="s">
        <v>90</v>
      </c>
      <c r="M41" s="13" t="s">
        <v>91</v>
      </c>
      <c r="N41" s="13" t="s">
        <v>92</v>
      </c>
      <c r="O41" s="13" t="s">
        <v>93</v>
      </c>
      <c r="P41" s="13" t="s">
        <v>94</v>
      </c>
      <c r="Q41" s="13" t="s">
        <v>95</v>
      </c>
      <c r="R41" s="13" t="s">
        <v>96</v>
      </c>
      <c r="S41" s="13" t="s">
        <v>97</v>
      </c>
      <c r="T41" s="1"/>
      <c r="U41" s="1"/>
      <c r="V41" s="1"/>
      <c r="W41" s="1"/>
    </row>
    <row r="42" spans="1:23" ht="34.049999999999997" customHeight="1">
      <c r="A42" s="29" t="s">
        <v>52</v>
      </c>
      <c r="B42" s="38">
        <f>SQRT(((B26-B35)^2+(C26-C35)^2+(D26-D35)^2)/3)</f>
        <v>0.15513435037626791</v>
      </c>
      <c r="C42" s="38">
        <f>SQRT(((E26-E35)^2+(F26-F35)^2+(G26-G35)^2)/3)</f>
        <v>0.15422713195301491</v>
      </c>
      <c r="D42" s="38">
        <f>SQRT(((H26-H35)^2+(I26-I35)^2+(J26-J35)^2)/3)</f>
        <v>0.2215851980616034</v>
      </c>
      <c r="E42" s="38">
        <f>SQRT(((K26-K35)^2+(L26-L35)^2+(M26-M35)^2)/3)</f>
        <v>0.11618950038622247</v>
      </c>
      <c r="F42" s="38">
        <f>SQRT(((N26-N35)^2+(O26-O35)^2+(P26-P35)^2)/3)</f>
        <v>0.34641016151377546</v>
      </c>
      <c r="G42" s="38">
        <f>SQRT(((Q26-Q35)^2+(R26-R35)^2+(S26-S35)^2)/3)</f>
        <v>0.27349588662354685</v>
      </c>
      <c r="H42" s="38">
        <f>SQRT(((T26-T35)^2+(U26-U35)^2+(V26-V35)^2)/3)</f>
        <v>0.21664102412362565</v>
      </c>
      <c r="I42" s="38">
        <f>SUM(B42:H42)</f>
        <v>1.4836832530380566</v>
      </c>
      <c r="J42" s="38">
        <f>SQRT(((B26-B36)^2+(C26-C36)^2+(D26-D36)^2)/3)</f>
        <v>0.25929391302792543</v>
      </c>
      <c r="K42" s="38">
        <f>SQRT(((E26-E36)^2+(F26-F36)^2+(G26-G36)^2)/3)</f>
        <v>0.25668029465183234</v>
      </c>
      <c r="L42" s="38">
        <f>SQRT(((H26-H36)^2+(I26-I36)^2+(J26-J36)^2)/3)</f>
        <v>0.18411952639521981</v>
      </c>
      <c r="M42" s="38">
        <f>SQRT(((K26-K36)^2+(L26-L36)^2+(M26-M36)^2)/3)</f>
        <v>0.26057628441590774</v>
      </c>
      <c r="N42" s="38">
        <f>SQRT(((N26-N36)^2+(O26-O36)^2+(P26-P36)^2)/3)</f>
        <v>0.28284271247461906</v>
      </c>
      <c r="O42" s="38">
        <f>SQRT(((Q26-Q36)^2+(R26-R36)^2+(S26-S36)^2)/3)</f>
        <v>0.29018313183229666</v>
      </c>
      <c r="P42" s="38">
        <f>SQRT(((T26-T36)^2+(U26-U36)^2+(V26-V36)^2)/3)</f>
        <v>0.27812422839399148</v>
      </c>
      <c r="Q42" s="38">
        <f>SUM(J42:P42)</f>
        <v>1.8118200911917925</v>
      </c>
      <c r="R42" s="38">
        <f>Q42/(I42+Q42)</f>
        <v>0.54978554167275784</v>
      </c>
      <c r="S42" s="32">
        <f>_xlfn.RANK.EQ(R42,$R$42:$R$45,0)</f>
        <v>1</v>
      </c>
      <c r="T42" s="1"/>
      <c r="U42" s="1"/>
      <c r="V42" s="1"/>
      <c r="W42" s="1"/>
    </row>
    <row r="43" spans="1:23" ht="34.049999999999997" customHeight="1">
      <c r="A43" s="30" t="s">
        <v>60</v>
      </c>
      <c r="B43" s="39">
        <f>SQRT(((B27-B35)^2+(C27-C35)^2+(D27-D35)^2)/3)</f>
        <v>0.15513435037626791</v>
      </c>
      <c r="C43" s="39">
        <f>SQRT(((E27-E35)^2+(F27-F35)^2+(G27-G35)^2)/3)</f>
        <v>8.1649658092772581E-2</v>
      </c>
      <c r="D43" s="39">
        <f>SQRT(((H27-H35)^2+(I27-I35)^2+(J27-J35)^2)/3)</f>
        <v>9.8149545762236404E-2</v>
      </c>
      <c r="E43" s="39">
        <f>SQRT(((K27-K35)^2+(L27-L35)^2+(M27-M35)^2)/3)</f>
        <v>0.21007935008784967</v>
      </c>
      <c r="F43" s="39">
        <f>SQRT(((N27-N35)^2+(O27-O35)^2+(P27-P35)^2)/3)</f>
        <v>0.55151307025914331</v>
      </c>
      <c r="G43" s="39">
        <f>SQRT(((Q27-Q35)^2+(R27-R35)^2+(S27-S35)^2)/3)</f>
        <v>0.49929478328162508</v>
      </c>
      <c r="H43" s="39">
        <f>SQRT(((T27-T35)^2+(U27-U35)^2+(V27-V35)^2)/3)</f>
        <v>0.44777685874365764</v>
      </c>
      <c r="I43" s="39">
        <f>SUM(B43:H43)</f>
        <v>2.0435976166035523</v>
      </c>
      <c r="J43" s="39">
        <f>SQRT(((B27-B36)^2+(C27-C36)^2+(D27-D36)^2)/3)</f>
        <v>0.25929391302792543</v>
      </c>
      <c r="K43" s="39">
        <f>SQRT(((E27-E36)^2+(F27-F36)^2+(G27-G36)^2)/3)</f>
        <v>0.30368111930481001</v>
      </c>
      <c r="L43" s="39">
        <f>SQRT(((H27-H36)^2+(I27-I36)^2+(J27-J36)^2)/3)</f>
        <v>0.33311659620419198</v>
      </c>
      <c r="M43" s="39">
        <f>SQRT(((K27-K36)^2+(L27-L36)^2+(M27-M36)^2)/3)</f>
        <v>0.13856406460551032</v>
      </c>
      <c r="N43" s="39">
        <f>SQRT(((N27-N36)^2+(O27-O36)^2+(P27-P36)^2)/3)</f>
        <v>6.4549722436790302E-2</v>
      </c>
      <c r="O43" s="39">
        <f>SQRT(((Q27-Q36)^2+(R27-R36)^2+(S27-S36)^2)/3)</f>
        <v>5.1197397095826658E-2</v>
      </c>
      <c r="P43" s="39">
        <f>SQRT(((T27-T36)^2+(U27-U36)^2+(V27-V36)^2)/3)</f>
        <v>5.6016605415756246E-2</v>
      </c>
      <c r="Q43" s="39">
        <f>SUM(J43:P43)</f>
        <v>1.206419418090811</v>
      </c>
      <c r="R43" s="39">
        <f>Q43/(I43+Q43)</f>
        <v>0.3712040291518855</v>
      </c>
      <c r="S43" s="33">
        <f>_xlfn.RANK.EQ(R43,$R$42:$R$45,0)</f>
        <v>4</v>
      </c>
      <c r="T43" s="1"/>
      <c r="U43" s="1"/>
      <c r="V43" s="1"/>
      <c r="W43" s="1"/>
    </row>
    <row r="44" spans="1:23" ht="34.049999999999997" customHeight="1">
      <c r="A44" s="30" t="s">
        <v>61</v>
      </c>
      <c r="B44" s="39">
        <f>SQRT(((B28-B35)^2+(C28-C35)^2+(D28-D35)^2)/3)</f>
        <v>8.1649658092772581E-2</v>
      </c>
      <c r="C44" s="39">
        <f>SQRT(((E28-E35)^2+(F28-F35)^2+(G28-G35)^2)/3)</f>
        <v>8.1649658092772581E-2</v>
      </c>
      <c r="D44" s="39">
        <f>SQRT(((H28-H35)^2+(I28-I35)^2+(J28-J35)^2)/3)</f>
        <v>0.11789826122551596</v>
      </c>
      <c r="E44" s="39">
        <f>SQRT(((K28-K35)^2+(L28-L35)^2+(M28-M35)^2)/3)</f>
        <v>0.1671326818229556</v>
      </c>
      <c r="F44" s="39">
        <f>SQRT(((N28-N35)^2+(O28-O35)^2+(P28-P35)^2)/3)</f>
        <v>0.51272912581848229</v>
      </c>
      <c r="G44" s="39">
        <f>SQRT(((Q28-Q35)^2+(R28-R35)^2+(S28-S35)^2)/3)</f>
        <v>0.4542318027309899</v>
      </c>
      <c r="H44" s="39">
        <f>SQRT(((T28-T35)^2+(U28-U35)^2+(V28-V35)^2)/3)</f>
        <v>0.41735317594261556</v>
      </c>
      <c r="I44" s="39">
        <f>SUM(B44:H44)</f>
        <v>1.8326443637261045</v>
      </c>
      <c r="J44" s="39">
        <f>SQRT(((B28-B36)^2+(C28-C36)^2+(D28-D36)^2)/3)</f>
        <v>0.30697448319580789</v>
      </c>
      <c r="K44" s="39">
        <f>SQRT(((E28-E36)^2+(F28-F36)^2+(G28-G36)^2)/3)</f>
        <v>0.30368111930481001</v>
      </c>
      <c r="L44" s="39">
        <f>SQRT(((H28-H36)^2+(I28-I36)^2+(J28-J36)^2)/3)</f>
        <v>0.27331300737432906</v>
      </c>
      <c r="M44" s="39">
        <f>SQRT(((K28-K36)^2+(L28-L36)^2+(M28-M36)^2)/3)</f>
        <v>0.20928449536456359</v>
      </c>
      <c r="N44" s="39">
        <f>SQRT(((N28-N36)^2+(O28-O36)^2+(P28-P36)^2)/3)</f>
        <v>0.10706346264722437</v>
      </c>
      <c r="O44" s="39">
        <f>SQRT(((Q28-Q36)^2+(R28-R36)^2+(S28-S36)^2)/3)</f>
        <v>9.4462991709563682E-2</v>
      </c>
      <c r="P44" s="39">
        <f>SQRT(((T28-T36)^2+(U28-U36)^2+(V28-V36)^2)/3)</f>
        <v>9.009247509661962E-2</v>
      </c>
      <c r="Q44" s="39">
        <f>SUM(J44:P44)</f>
        <v>1.3848720346929182</v>
      </c>
      <c r="R44" s="39">
        <f>Q44/(I44+Q44)</f>
        <v>0.43041646512614412</v>
      </c>
      <c r="S44" s="33">
        <f>_xlfn.RANK.EQ(R44,$R$42:$R$45,0)</f>
        <v>3</v>
      </c>
      <c r="T44" s="1"/>
      <c r="U44" s="1"/>
      <c r="V44" s="1"/>
      <c r="W44" s="1"/>
    </row>
    <row r="45" spans="1:23" ht="34.049999999999997" customHeight="1">
      <c r="A45" s="30" t="s">
        <v>62</v>
      </c>
      <c r="B45" s="39">
        <f>SQRT(((B29-B35)^2+(C29-C35)^2+(D29-D35)^2)/3)</f>
        <v>0.32341923257592459</v>
      </c>
      <c r="C45" s="39">
        <f>SQRT(((E29-E35)^2+(F29-F35)^2+(G29-G35)^2)/3)</f>
        <v>0.2896002637381424</v>
      </c>
      <c r="D45" s="39">
        <f>SQRT(((H29-H35)^2+(I29-I35)^2+(J29-J35)^2)/3)</f>
        <v>0.31853832841067448</v>
      </c>
      <c r="E45" s="39">
        <f>SQRT(((K29-K35)^2+(L29-L35)^2+(M29-M35)^2)/3)</f>
        <v>0.27135462651912412</v>
      </c>
      <c r="F45" s="39">
        <f>SQRT(((N29-N35)^2+(O29-O35)^2+(P29-P35)^2)/3)</f>
        <v>0.22861904265976321</v>
      </c>
      <c r="G45" s="39">
        <f>SQRT(((Q29-Q35)^2+(R29-R35)^2+(S29-S35)^2)/3)</f>
        <v>0.15877132402714716</v>
      </c>
      <c r="H45" s="39">
        <f>SQRT(((T29-T35)^2+(U29-U35)^2+(V29-V35)^2)/3)</f>
        <v>8.1649658092772678E-2</v>
      </c>
      <c r="I45" s="39">
        <f>SUM(B45:H45)</f>
        <v>1.6719524760235482</v>
      </c>
      <c r="J45" s="39">
        <f>SQRT(((B29-B36)^2+(C29-C36)^2+(D29-D36)^2)/3)</f>
        <v>9.8149545762236404E-2</v>
      </c>
      <c r="K45" s="39">
        <f>SQRT(((E29-E36)^2+(F29-F36)^2+(G29-G36)^2)/3)</f>
        <v>0.10905505084692936</v>
      </c>
      <c r="L45" s="39">
        <f>SQRT(((H29-H36)^2+(I29-I36)^2+(J29-J36)^2)/3)</f>
        <v>8.7939373055152772E-2</v>
      </c>
      <c r="M45" s="39">
        <f>SQRT(((K29-K36)^2+(L29-L36)^2+(M29-M36)^2)/3)</f>
        <v>0.10082988974836125</v>
      </c>
      <c r="N45" s="39">
        <f>SQRT(((N29-N36)^2+(O29-O36)^2+(P29-P36)^2)/3)</f>
        <v>0.43389706920727955</v>
      </c>
      <c r="O45" s="39">
        <f>SQRT(((Q29-Q36)^2+(R29-R36)^2+(S29-S36)^2)/3)</f>
        <v>0.46429830569006686</v>
      </c>
      <c r="P45" s="39">
        <f>SQRT(((T29-T36)^2+(U29-U36)^2+(V29-V36)^2)/3)</f>
        <v>0.42484565098455918</v>
      </c>
      <c r="Q45" s="39">
        <f>SUM(J45:P45)</f>
        <v>1.7190148852945852</v>
      </c>
      <c r="R45" s="39">
        <f>Q45/(I45+Q45)</f>
        <v>0.50693937809721989</v>
      </c>
      <c r="S45" s="33">
        <f>_xlfn.RANK.EQ(R45,$R$42:$R$45,0)</f>
        <v>2</v>
      </c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24" customHeight="1">
      <c r="A49" s="46" t="s">
        <v>98</v>
      </c>
      <c r="B49" s="46"/>
      <c r="C49" s="46"/>
      <c r="D49" s="46"/>
      <c r="E49" s="46"/>
      <c r="F49" s="46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"/>
    </row>
    <row r="50" spans="1:23">
      <c r="A50" s="13" t="s">
        <v>99</v>
      </c>
      <c r="B50" s="13" t="s">
        <v>1</v>
      </c>
      <c r="C50" s="13" t="s">
        <v>100</v>
      </c>
      <c r="D50" s="13" t="s">
        <v>87</v>
      </c>
      <c r="E50" s="13" t="s">
        <v>95</v>
      </c>
      <c r="F50" s="13" t="s">
        <v>96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37.950000000000003" customHeight="1">
      <c r="A51" s="34">
        <v>1</v>
      </c>
      <c r="B51" s="34" t="s">
        <v>101</v>
      </c>
      <c r="C51" s="34" t="s">
        <v>102</v>
      </c>
      <c r="D51" s="35">
        <f>I42</f>
        <v>1.4836832530380566</v>
      </c>
      <c r="E51" s="35">
        <f>Q42</f>
        <v>1.8118200911917925</v>
      </c>
      <c r="F51" s="35">
        <f>R42</f>
        <v>0.54978554167275784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37.950000000000003" customHeight="1">
      <c r="A52" s="30">
        <v>2</v>
      </c>
      <c r="B52" s="30" t="s">
        <v>103</v>
      </c>
      <c r="C52" s="30" t="s">
        <v>104</v>
      </c>
      <c r="D52" s="31">
        <f>I45</f>
        <v>1.6719524760235482</v>
      </c>
      <c r="E52" s="31">
        <f>Q45</f>
        <v>1.7190148852945852</v>
      </c>
      <c r="F52" s="31">
        <f>R45</f>
        <v>0.50693937809721989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37.950000000000003" customHeight="1">
      <c r="A53" s="30">
        <v>3</v>
      </c>
      <c r="B53" s="30" t="s">
        <v>105</v>
      </c>
      <c r="C53" s="30" t="s">
        <v>106</v>
      </c>
      <c r="D53" s="31">
        <f>I44</f>
        <v>1.8326443637261045</v>
      </c>
      <c r="E53" s="31">
        <f>Q44</f>
        <v>1.3848720346929182</v>
      </c>
      <c r="F53" s="31">
        <f>R44</f>
        <v>0.43041646512614412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37.950000000000003" customHeight="1">
      <c r="A54" s="30">
        <v>4</v>
      </c>
      <c r="B54" s="30" t="s">
        <v>107</v>
      </c>
      <c r="C54" s="30" t="s">
        <v>108</v>
      </c>
      <c r="D54" s="31">
        <f>I43</f>
        <v>2.0435976166035523</v>
      </c>
      <c r="E54" s="31">
        <f>Q43</f>
        <v>1.206419418090811</v>
      </c>
      <c r="F54" s="31">
        <f>R43</f>
        <v>0.3712040291518855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</sheetData>
  <mergeCells count="29">
    <mergeCell ref="A40:Q40"/>
    <mergeCell ref="A49:F49"/>
    <mergeCell ref="A2:V2"/>
    <mergeCell ref="A1:V1"/>
    <mergeCell ref="A32:V32"/>
    <mergeCell ref="B33:D33"/>
    <mergeCell ref="E33:G33"/>
    <mergeCell ref="H33:J33"/>
    <mergeCell ref="K33:M33"/>
    <mergeCell ref="N33:P33"/>
    <mergeCell ref="Q33:S33"/>
    <mergeCell ref="T33:V33"/>
    <mergeCell ref="A23:V23"/>
    <mergeCell ref="B24:D24"/>
    <mergeCell ref="E24:G24"/>
    <mergeCell ref="H24:J24"/>
    <mergeCell ref="K24:M24"/>
    <mergeCell ref="N24:P24"/>
    <mergeCell ref="Q24:S24"/>
    <mergeCell ref="T24:V24"/>
    <mergeCell ref="A3:E3"/>
    <mergeCell ref="A14:V14"/>
    <mergeCell ref="B15:D15"/>
    <mergeCell ref="E15:G15"/>
    <mergeCell ref="H15:J15"/>
    <mergeCell ref="K15:M15"/>
    <mergeCell ref="N15:P15"/>
    <mergeCell ref="Q15:S15"/>
    <mergeCell ref="T15:V15"/>
  </mergeCells>
  <conditionalFormatting sqref="R42:R45">
    <cfRule type="dataBar" priority="1">
      <dataBar>
        <cfvo type="min"/>
        <cfvo type="max"/>
        <color rgb="FF5B9BD5"/>
      </dataBar>
    </cfRule>
  </conditionalFormatting>
  <conditionalFormatting sqref="F51:F54">
    <cfRule type="dataBar" priority="2">
      <dataBar>
        <cfvo type="min"/>
        <cfvo type="max"/>
        <color rgb="FF70AD47"/>
      </dataBar>
    </cfRule>
  </conditionalFormatting>
  <conditionalFormatting sqref="R42:R45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{4383A32C-1C22-5A02-5D33-AF6088A6AAE0}</x14:id>
        </ext>
      </extLst>
    </cfRule>
  </conditionalFormatting>
  <conditionalFormatting sqref="F51:F54"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{6A181C73-D825-D22E-56EF-276E5411627C}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83A32C-1C22-5A02-5D33-AF6088A6AAE0}">
            <x14:dataBar>
              <x14:cfvo type="min"/>
              <x14:cfvo type="max"/>
              <x14:negativeFillColor rgb="FFFEF3C7"/>
              <x14:axisColor rgb="FFDCFCE7"/>
            </x14:dataBar>
          </x14:cfRule>
          <xm:sqref>R42:R45</xm:sqref>
        </x14:conditionalFormatting>
        <x14:conditionalFormatting xmlns:xm="http://schemas.microsoft.com/office/excel/2006/main">
          <x14:cfRule type="dataBar" id="{6A181C73-D825-D22E-56EF-276E5411627C}">
            <x14:dataBar>
              <x14:cfvo type="min"/>
              <x14:cfvo type="max"/>
              <x14:negativeFillColor rgb="FFFEF3C7"/>
              <x14:axisColor rgb="FFDCFCE7"/>
            </x14:dataBar>
          </x14:cfRule>
          <xm:sqref>F51:F54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Методика</vt:lpstr>
      <vt:lpstr>Оценки</vt:lpstr>
      <vt:lpstr>Коллективные</vt:lpstr>
      <vt:lpstr>TOPSIS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2026-10-18T20:58:49Z</dcterms:modified>
</cp:coreProperties>
</file>