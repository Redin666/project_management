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09c0ae073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ценки" sheetId="1" r:id="R9e06bccdd9734148"/>
    <x:sheet xmlns:r="http://schemas.openxmlformats.org/officeDocument/2006/relationships" name="Коллективные" sheetId="2" r:id="Ra38dedf5db6b497e"/>
    <x:sheet xmlns:r="http://schemas.openxmlformats.org/officeDocument/2006/relationships" name="TOPSIS" sheetId="3" r:id="R452269274a484fc7"/>
    <x:sheet xmlns:r="http://schemas.openxmlformats.org/officeDocument/2006/relationships" name="Справка" sheetId="4" r:id="Rab8bc0c1f9bf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93ef9dce24223" /><Relationship Type="http://schemas.openxmlformats.org/officeDocument/2006/relationships/theme" Target="/xl/theme/theme1.xml" Id="R61988a0f39af4ddf" /><Relationship Type="http://schemas.openxmlformats.org/officeDocument/2006/relationships/sharedStrings" Target="/xl/sharedStrings.xml" Id="Rbad953d9a4e3477a" /><Relationship Type="http://schemas.openxmlformats.org/officeDocument/2006/relationships/worksheet" Target="/xl/worksheets/sheet1.xml" Id="R9e06bccdd9734148" /><Relationship Type="http://schemas.openxmlformats.org/officeDocument/2006/relationships/worksheet" Target="/xl/worksheets/sheet2.xml" Id="Ra38dedf5db6b497e" /><Relationship Type="http://schemas.openxmlformats.org/officeDocument/2006/relationships/worksheet" Target="/xl/worksheets/sheet3.xml" Id="R452269274a484fc7" /><Relationship Type="http://schemas.openxmlformats.org/officeDocument/2006/relationships/worksheet" Target="/xl/worksheets/sheet4.xml" Id="Rab8bc0c1f9bf40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Код/Альтернатива</x:v>
      </x:c>
      <x:c r="B1" s="2" t="str">
        <x:v>Критерий</x:v>
      </x:c>
      <x:c r="C1" s="2" t="str">
        <x:v>Тип</x:v>
      </x:c>
      <x:c r="D1" s="2" t="str">
        <x:v>Никита Редин</x:v>
      </x:c>
      <x:c r="E1" s="2" t="str">
        <x:v>Павел Шатков</x:v>
      </x:c>
      <x:c r="F1" s="2" t="str">
        <x:v>Владислав Полищук</x:v>
      </x:c>
      <x:c r="G1" s="2" t="str">
        <x:v>l</x:v>
      </x:c>
      <x:c r="H1" s="2" t="str">
        <x:v>m</x:v>
      </x:c>
      <x:c r="I1" s="2" t="str">
        <x:v>u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t="str">
        <x:v>K1</x:v>
      </x:c>
      <x:c r="B2" t="str">
        <x:v>Практическая значимость</x:v>
      </x:c>
      <x:c r="C2" t="str">
        <x:v>Важность</x:v>
      </x:c>
      <x:c r="D2" t="n">
        <x:v>10</x:v>
      </x:c>
      <x:c r="E2" t="n">
        <x:v>9</x:v>
      </x:c>
      <x:c r="F2" t="n">
        <x:v>9</x:v>
      </x:c>
      <x:c r="G2" t="n">
        <x:f>MIN(D2:F2)</x:f>
        <x:v>9</x:v>
      </x:c>
      <x:c r="H2" t="n">
        <x:f>MEDIAN(D2:F2)</x:f>
        <x:v>9</x:v>
      </x:c>
      <x:c r="I2" t="n">
        <x:f>MAX(D2:F2)</x:f>
        <x:v>10</x:v>
      </x:c>
    </x:row>
    <x:row r="3">
      <x:c r="A3" t="str">
        <x:v>K2</x:v>
      </x:c>
      <x:c r="B3" t="str">
        <x:v>Функциональная содержательность</x:v>
      </x:c>
      <x:c r="C3" t="str">
        <x:v>Важность</x:v>
      </x:c>
      <x:c r="D3" t="n">
        <x:v>8</x:v>
      </x:c>
      <x:c r="E3" t="n">
        <x:v>8</x:v>
      </x:c>
      <x:c r="F3" t="n">
        <x:v>9</x:v>
      </x:c>
      <x:c r="G3" t="n">
        <x:f>MIN(D3:F3)</x:f>
        <x:v>8</x:v>
      </x:c>
      <x:c r="H3" t="n">
        <x:f>MEDIAN(D3:F3)</x:f>
        <x:v>8</x:v>
      </x:c>
      <x:c r="I3" t="n">
        <x:f>MAX(D3:F3)</x:f>
        <x:v>9</x:v>
      </x:c>
    </x:row>
    <x:row r="4">
      <x:c r="A4" t="str">
        <x:v>K3</x:v>
      </x:c>
      <x:c r="B4" t="str">
        <x:v>Потенциал интеграции и развития</x:v>
      </x:c>
      <x:c r="C4" t="str">
        <x:v>Важность</x:v>
      </x:c>
      <x:c r="D4" t="n">
        <x:v>8</x:v>
      </x:c>
      <x:c r="E4" t="n">
        <x:v>7</x:v>
      </x:c>
      <x:c r="F4" t="n">
        <x:v>8</x:v>
      </x:c>
      <x:c r="G4" t="n">
        <x:f>MIN(D4:F4)</x:f>
        <x:v>7</x:v>
      </x:c>
      <x:c r="H4" t="n">
        <x:f>MEDIAN(D4:F4)</x:f>
        <x:v>8</x:v>
      </x:c>
      <x:c r="I4" t="n">
        <x:f>MAX(D4:F4)</x:f>
        <x:v>8</x:v>
      </x:c>
    </x:row>
    <x:row r="5">
      <x:c r="A5" t="str">
        <x:v>K4</x:v>
      </x:c>
      <x:c r="B5" t="str">
        <x:v>Демонстрационная и исследовательская ценность</x:v>
      </x:c>
      <x:c r="C5" t="str">
        <x:v>Важность</x:v>
      </x:c>
      <x:c r="D5" t="n">
        <x:v>9</x:v>
      </x:c>
      <x:c r="E5" t="n">
        <x:v>8</x:v>
      </x:c>
      <x:c r="F5" t="n">
        <x:v>9</x:v>
      </x:c>
      <x:c r="G5" t="n">
        <x:f>MIN(D5:F5)</x:f>
        <x:v>8</x:v>
      </x:c>
      <x:c r="H5" t="n">
        <x:f>MEDIAN(D5:F5)</x:f>
        <x:v>9</x:v>
      </x:c>
      <x:c r="I5" t="n">
        <x:f>MAX(D5:F5)</x:f>
        <x:v>9</x:v>
      </x:c>
    </x:row>
    <x:row r="6">
      <x:c r="A6" t="str">
        <x:v>K5</x:v>
      </x:c>
      <x:c r="B6" t="str">
        <x:v>Трудоёмкость реализации MVP</x:v>
      </x:c>
      <x:c r="C6" t="str">
        <x:v>Важность</x:v>
      </x:c>
      <x:c r="D6" t="n">
        <x:v>9</x:v>
      </x:c>
      <x:c r="E6" t="n">
        <x:v>10</x:v>
      </x:c>
      <x:c r="F6" t="n">
        <x:v>9</x:v>
      </x:c>
      <x:c r="G6" t="n">
        <x:f>MIN(D6:F6)</x:f>
        <x:v>9</x:v>
      </x:c>
      <x:c r="H6" t="n">
        <x:f>MEDIAN(D6:F6)</x:f>
        <x:v>9</x:v>
      </x:c>
      <x:c r="I6" t="n">
        <x:f>MAX(D6:F6)</x:f>
        <x:v>10</x:v>
      </x:c>
    </x:row>
    <x:row r="7">
      <x:c r="A7" t="str">
        <x:v>K6</x:v>
      </x:c>
      <x:c r="B7" t="str">
        <x:v>Зависимость MVP от внешних ресурсов</x:v>
      </x:c>
      <x:c r="C7" t="str">
        <x:v>Важность</x:v>
      </x:c>
      <x:c r="D7" t="n">
        <x:v>7</x:v>
      </x:c>
      <x:c r="E7" t="n">
        <x:v>8</x:v>
      </x:c>
      <x:c r="F7" t="n">
        <x:v>8</x:v>
      </x:c>
      <x:c r="G7" t="n">
        <x:f>MIN(D7:F7)</x:f>
        <x:v>7</x:v>
      </x:c>
      <x:c r="H7" t="n">
        <x:f>MEDIAN(D7:F7)</x:f>
        <x:v>8</x:v>
      </x:c>
      <x:c r="I7" t="n">
        <x:f>MAX(D7:F7)</x:f>
        <x:v>8</x:v>
      </x:c>
    </x:row>
    <x:row r="8">
      <x:c r="A8" t="str">
        <x:v>K7</x:v>
      </x:c>
      <x:c r="B8" t="str">
        <x:v>Сложность эксплуатации и сопровождения MVP</x:v>
      </x:c>
      <x:c r="C8" t="str">
        <x:v>Важность</x:v>
      </x:c>
      <x:c r="D8" t="n">
        <x:v>7</x:v>
      </x:c>
      <x:c r="E8" t="n">
        <x:v>8</x:v>
      </x:c>
      <x:c r="F8" t="n">
        <x:v>7</x:v>
      </x:c>
      <x:c r="G8" t="n">
        <x:f>MIN(D8:F8)</x:f>
        <x:v>7</x:v>
      </x:c>
      <x:c r="H8" t="n">
        <x:f>MEDIAN(D8:F8)</x:f>
        <x:v>7</x:v>
      </x:c>
      <x:c r="I8" t="n">
        <x:f>MAX(D8:F8)</x:f>
        <x:v>8</x:v>
      </x:c>
    </x:row>
    <x:row r="10">
      <x:c r="A10" t="str">
        <x:v>A1</x:v>
      </x:c>
      <x:c r="B10" t="str">
        <x:v>K1</x:v>
      </x:c>
      <x:c r="C10" t="str">
        <x:v>Benefit</x:v>
      </x:c>
      <x:c r="D10" t="n">
        <x:v>9</x:v>
      </x:c>
      <x:c r="E10" t="n">
        <x:v>9</x:v>
      </x:c>
      <x:c r="F10" t="n">
        <x:v>10</x:v>
      </x:c>
      <x:c r="G10" t="n">
        <x:f>MIN(D10:F10)</x:f>
        <x:v>9</x:v>
      </x:c>
      <x:c r="H10" t="n">
        <x:f>MEDIAN(D10:F10)</x:f>
        <x:v>9</x:v>
      </x:c>
      <x:c r="I10" t="n">
        <x:f>MAX(D10:F10)</x:f>
        <x:v>10</x:v>
      </x:c>
    </x:row>
    <x:row r="11">
      <x:c r="A11" t="str">
        <x:v>A1</x:v>
      </x:c>
      <x:c r="B11" t="str">
        <x:v>K2</x:v>
      </x:c>
      <x:c r="C11" t="str">
        <x:v>Benefit</x:v>
      </x:c>
      <x:c r="D11" t="n">
        <x:v>8</x:v>
      </x:c>
      <x:c r="E11" t="n">
        <x:v>8</x:v>
      </x:c>
      <x:c r="F11" t="n">
        <x:v>9</x:v>
      </x:c>
      <x:c r="G11" t="n">
        <x:f>MIN(D11:F11)</x:f>
        <x:v>8</x:v>
      </x:c>
      <x:c r="H11" t="n">
        <x:f>MEDIAN(D11:F11)</x:f>
        <x:v>8</x:v>
      </x:c>
      <x:c r="I11" t="n">
        <x:f>MAX(D11:F11)</x:f>
        <x:v>9</x:v>
      </x:c>
    </x:row>
    <x:row r="12">
      <x:c r="A12" t="str">
        <x:v>A1</x:v>
      </x:c>
      <x:c r="B12" t="str">
        <x:v>K3</x:v>
      </x:c>
      <x:c r="C12" t="str">
        <x:v>Benefit</x:v>
      </x:c>
      <x:c r="D12" t="n">
        <x:v>8</x:v>
      </x:c>
      <x:c r="E12" t="n">
        <x:v>7</x:v>
      </x:c>
      <x:c r="F12" t="n">
        <x:v>8</x:v>
      </x:c>
      <x:c r="G12" t="n">
        <x:f>MIN(D12:F12)</x:f>
        <x:v>7</x:v>
      </x:c>
      <x:c r="H12" t="n">
        <x:f>MEDIAN(D12:F12)</x:f>
        <x:v>8</x:v>
      </x:c>
      <x:c r="I12" t="n">
        <x:f>MAX(D12:F12)</x:f>
        <x:v>8</x:v>
      </x:c>
    </x:row>
    <x:row r="13">
      <x:c r="A13" t="str">
        <x:v>A1</x:v>
      </x:c>
      <x:c r="B13" t="str">
        <x:v>K4</x:v>
      </x:c>
      <x:c r="C13" t="str">
        <x:v>Benefit</x:v>
      </x:c>
      <x:c r="D13" t="n">
        <x:v>10</x:v>
      </x:c>
      <x:c r="E13" t="n">
        <x:v>9</x:v>
      </x:c>
      <x:c r="F13" t="n">
        <x:v>9</x:v>
      </x:c>
      <x:c r="G13" t="n">
        <x:f>MIN(D13:F13)</x:f>
        <x:v>9</x:v>
      </x:c>
      <x:c r="H13" t="n">
        <x:f>MEDIAN(D13:F13)</x:f>
        <x:v>9</x:v>
      </x:c>
      <x:c r="I13" t="n">
        <x:f>MAX(D13:F13)</x:f>
        <x:v>10</x:v>
      </x:c>
    </x:row>
    <x:row r="14">
      <x:c r="A14" t="str">
        <x:v>A1</x:v>
      </x:c>
      <x:c r="B14" t="str">
        <x:v>K5</x:v>
      </x:c>
      <x:c r="C14" t="str">
        <x:v>Cost</x:v>
      </x:c>
      <x:c r="D14" t="n">
        <x:v>6</x:v>
      </x:c>
      <x:c r="E14" t="n">
        <x:v>6</x:v>
      </x:c>
      <x:c r="F14" t="n">
        <x:v>5</x:v>
      </x:c>
      <x:c r="G14" t="n">
        <x:f>MIN(D14:F14)</x:f>
        <x:v>5</x:v>
      </x:c>
      <x:c r="H14" t="n">
        <x:f>MEDIAN(D14:F14)</x:f>
        <x:v>6</x:v>
      </x:c>
      <x:c r="I14" t="n">
        <x:f>MAX(D14:F14)</x:f>
        <x:v>6</x:v>
      </x:c>
    </x:row>
    <x:row r="15">
      <x:c r="A15" t="str">
        <x:v>A1</x:v>
      </x:c>
      <x:c r="B15" t="str">
        <x:v>K6</x:v>
      </x:c>
      <x:c r="C15" t="str">
        <x:v>Cost</x:v>
      </x:c>
      <x:c r="D15" t="n">
        <x:v>4</x:v>
      </x:c>
      <x:c r="E15" t="n">
        <x:v>5</x:v>
      </x:c>
      <x:c r="F15" t="n">
        <x:v>4</x:v>
      </x:c>
      <x:c r="G15" t="n">
        <x:f>MIN(D15:F15)</x:f>
        <x:v>4</x:v>
      </x:c>
      <x:c r="H15" t="n">
        <x:f>MEDIAN(D15:F15)</x:f>
        <x:v>4</x:v>
      </x:c>
      <x:c r="I15" t="n">
        <x:f>MAX(D15:F15)</x:f>
        <x:v>5</x:v>
      </x:c>
    </x:row>
    <x:row r="16">
      <x:c r="A16" t="str">
        <x:v>A1</x:v>
      </x:c>
      <x:c r="B16" t="str">
        <x:v>K7</x:v>
      </x:c>
      <x:c r="C16" t="str">
        <x:v>Cost</x:v>
      </x:c>
      <x:c r="D16" t="n">
        <x:v>5</x:v>
      </x:c>
      <x:c r="E16" t="n">
        <x:v>5</x:v>
      </x:c>
      <x:c r="F16" t="n">
        <x:v>5</x:v>
      </x:c>
      <x:c r="G16" t="n">
        <x:f>MIN(D16:F16)</x:f>
        <x:v>5</x:v>
      </x:c>
      <x:c r="H16" t="n">
        <x:f>MEDIAN(D16:F16)</x:f>
        <x:v>5</x:v>
      </x:c>
      <x:c r="I16" t="n">
        <x:f>MAX(D16:F16)</x:f>
        <x:v>5</x:v>
      </x:c>
    </x:row>
    <x:row r="17">
      <x:c r="A17" t="str">
        <x:v>A2</x:v>
      </x:c>
      <x:c r="B17" t="str">
        <x:v>K1</x:v>
      </x:c>
      <x:c r="C17" t="str">
        <x:v>Benefit</x:v>
      </x:c>
      <x:c r="D17" t="n">
        <x:v>9</x:v>
      </x:c>
      <x:c r="E17" t="n">
        <x:v>10</x:v>
      </x:c>
      <x:c r="F17" t="n">
        <x:v>9</x:v>
      </x:c>
      <x:c r="G17" t="n">
        <x:f>MIN(D17:F17)</x:f>
        <x:v>9</x:v>
      </x:c>
      <x:c r="H17" t="n">
        <x:f>MEDIAN(D17:F17)</x:f>
        <x:v>9</x:v>
      </x:c>
      <x:c r="I17" t="n">
        <x:f>MAX(D17:F17)</x:f>
        <x:v>10</x:v>
      </x:c>
    </x:row>
    <x:row r="18">
      <x:c r="A18" t="str">
        <x:v>A2</x:v>
      </x:c>
      <x:c r="B18" t="str">
        <x:v>K2</x:v>
      </x:c>
      <x:c r="C18" t="str">
        <x:v>Benefit</x:v>
      </x:c>
      <x:c r="D18" t="n">
        <x:v>9</x:v>
      </x:c>
      <x:c r="E18" t="n">
        <x:v>9</x:v>
      </x:c>
      <x:c r="F18" t="n">
        <x:v>9</x:v>
      </x:c>
      <x:c r="G18" t="n">
        <x:f>MIN(D18:F18)</x:f>
        <x:v>9</x:v>
      </x:c>
      <x:c r="H18" t="n">
        <x:f>MEDIAN(D18:F18)</x:f>
        <x:v>9</x:v>
      </x:c>
      <x:c r="I18" t="n">
        <x:f>MAX(D18:F18)</x:f>
        <x:v>9</x:v>
      </x:c>
    </x:row>
    <x:row r="19">
      <x:c r="A19" t="str">
        <x:v>A2</x:v>
      </x:c>
      <x:c r="B19" t="str">
        <x:v>K3</x:v>
      </x:c>
      <x:c r="C19" t="str">
        <x:v>Benefit</x:v>
      </x:c>
      <x:c r="D19" t="n">
        <x:v>10</x:v>
      </x:c>
      <x:c r="E19" t="n">
        <x:v>9</x:v>
      </x:c>
      <x:c r="F19" t="n">
        <x:v>10</x:v>
      </x:c>
      <x:c r="G19" t="n">
        <x:f>MIN(D19:F19)</x:f>
        <x:v>9</x:v>
      </x:c>
      <x:c r="H19" t="n">
        <x:f>MEDIAN(D19:F19)</x:f>
        <x:v>10</x:v>
      </x:c>
      <x:c r="I19" t="n">
        <x:f>MAX(D19:F19)</x:f>
        <x:v>10</x:v>
      </x:c>
    </x:row>
    <x:row r="20">
      <x:c r="A20" t="str">
        <x:v>A2</x:v>
      </x:c>
      <x:c r="B20" t="str">
        <x:v>K4</x:v>
      </x:c>
      <x:c r="C20" t="str">
        <x:v>Benefit</x:v>
      </x:c>
      <x:c r="D20" t="n">
        <x:v>8</x:v>
      </x:c>
      <x:c r="E20" t="n">
        <x:v>8</x:v>
      </x:c>
      <x:c r="F20" t="n">
        <x:v>8</x:v>
      </x:c>
      <x:c r="G20" t="n">
        <x:f>MIN(D20:F20)</x:f>
        <x:v>8</x:v>
      </x:c>
      <x:c r="H20" t="n">
        <x:f>MEDIAN(D20:F20)</x:f>
        <x:v>8</x:v>
      </x:c>
      <x:c r="I20" t="n">
        <x:f>MAX(D20:F20)</x:f>
        <x:v>8</x:v>
      </x:c>
    </x:row>
    <x:row r="21">
      <x:c r="A21" t="str">
        <x:v>A2</x:v>
      </x:c>
      <x:c r="B21" t="str">
        <x:v>K5</x:v>
      </x:c>
      <x:c r="C21" t="str">
        <x:v>Cost</x:v>
      </x:c>
      <x:c r="D21" t="n">
        <x:v>8</x:v>
      </x:c>
      <x:c r="E21" t="n">
        <x:v>9</x:v>
      </x:c>
      <x:c r="F21" t="n">
        <x:v>8</x:v>
      </x:c>
      <x:c r="G21" t="n">
        <x:f>MIN(D21:F21)</x:f>
        <x:v>8</x:v>
      </x:c>
      <x:c r="H21" t="n">
        <x:f>MEDIAN(D21:F21)</x:f>
        <x:v>8</x:v>
      </x:c>
      <x:c r="I21" t="n">
        <x:f>MAX(D21:F21)</x:f>
        <x:v>9</x:v>
      </x:c>
    </x:row>
    <x:row r="22">
      <x:c r="A22" t="str">
        <x:v>A2</x:v>
      </x:c>
      <x:c r="B22" t="str">
        <x:v>K6</x:v>
      </x:c>
      <x:c r="C22" t="str">
        <x:v>Cost</x:v>
      </x:c>
      <x:c r="D22" t="n">
        <x:v>8</x:v>
      </x:c>
      <x:c r="E22" t="n">
        <x:v>8</x:v>
      </x:c>
      <x:c r="F22" t="n">
        <x:v>7</x:v>
      </x:c>
      <x:c r="G22" t="n">
        <x:f>MIN(D22:F22)</x:f>
        <x:v>7</x:v>
      </x:c>
      <x:c r="H22" t="n">
        <x:f>MEDIAN(D22:F22)</x:f>
        <x:v>8</x:v>
      </x:c>
      <x:c r="I22" t="n">
        <x:f>MAX(D22:F22)</x:f>
        <x:v>8</x:v>
      </x:c>
    </x:row>
    <x:row r="23">
      <x:c r="A23" t="str">
        <x:v>A2</x:v>
      </x:c>
      <x:c r="B23" t="str">
        <x:v>K7</x:v>
      </x:c>
      <x:c r="C23" t="str">
        <x:v>Cost</x:v>
      </x:c>
      <x:c r="D23" t="n">
        <x:v>8</x:v>
      </x:c>
      <x:c r="E23" t="n">
        <x:v>9</x:v>
      </x:c>
      <x:c r="F23" t="n">
        <x:v>8</x:v>
      </x:c>
      <x:c r="G23" t="n">
        <x:f>MIN(D23:F23)</x:f>
        <x:v>8</x:v>
      </x:c>
      <x:c r="H23" t="n">
        <x:f>MEDIAN(D23:F23)</x:f>
        <x:v>8</x:v>
      </x:c>
      <x:c r="I23" t="n">
        <x:f>MAX(D23:F23)</x:f>
        <x:v>9</x:v>
      </x:c>
    </x:row>
    <x:row r="24">
      <x:c r="A24" t="str">
        <x:v>A3</x:v>
      </x:c>
      <x:c r="B24" t="str">
        <x:v>K1</x:v>
      </x:c>
      <x:c r="C24" t="str">
        <x:v>Benefit</x:v>
      </x:c>
      <x:c r="D24" t="n">
        <x:v>10</x:v>
      </x:c>
      <x:c r="E24" t="n">
        <x:v>10</x:v>
      </x:c>
      <x:c r="F24" t="n">
        <x:v>10</x:v>
      </x:c>
      <x:c r="G24" t="n">
        <x:f>MIN(D24:F24)</x:f>
        <x:v>10</x:v>
      </x:c>
      <x:c r="H24" t="n">
        <x:f>MEDIAN(D24:F24)</x:f>
        <x:v>10</x:v>
      </x:c>
      <x:c r="I24" t="n">
        <x:f>MAX(D24:F24)</x:f>
        <x:v>10</x:v>
      </x:c>
    </x:row>
    <x:row r="25">
      <x:c r="A25" t="str">
        <x:v>A3</x:v>
      </x:c>
      <x:c r="B25" t="str">
        <x:v>K2</x:v>
      </x:c>
      <x:c r="C25" t="str">
        <x:v>Benefit</x:v>
      </x:c>
      <x:c r="D25" t="n">
        <x:v>9</x:v>
      </x:c>
      <x:c r="E25" t="n">
        <x:v>9</x:v>
      </x:c>
      <x:c r="F25" t="n">
        <x:v>9</x:v>
      </x:c>
      <x:c r="G25" t="n">
        <x:f>MIN(D25:F25)</x:f>
        <x:v>9</x:v>
      </x:c>
      <x:c r="H25" t="n">
        <x:f>MEDIAN(D25:F25)</x:f>
        <x:v>9</x:v>
      </x:c>
      <x:c r="I25" t="n">
        <x:f>MAX(D25:F25)</x:f>
        <x:v>9</x:v>
      </x:c>
    </x:row>
    <x:row r="26">
      <x:c r="A26" t="str">
        <x:v>A3</x:v>
      </x:c>
      <x:c r="B26" t="str">
        <x:v>K3</x:v>
      </x:c>
      <x:c r="C26" t="str">
        <x:v>Benefit</x:v>
      </x:c>
      <x:c r="D26" t="n">
        <x:v>9</x:v>
      </x:c>
      <x:c r="E26" t="n">
        <x:v>9</x:v>
      </x:c>
      <x:c r="F26" t="n">
        <x:v>9</x:v>
      </x:c>
      <x:c r="G26" t="n">
        <x:f>MIN(D26:F26)</x:f>
        <x:v>9</x:v>
      </x:c>
      <x:c r="H26" t="n">
        <x:f>MEDIAN(D26:F26)</x:f>
        <x:v>9</x:v>
      </x:c>
      <x:c r="I26" t="n">
        <x:f>MAX(D26:F26)</x:f>
        <x:v>9</x:v>
      </x:c>
    </x:row>
    <x:row r="27">
      <x:c r="A27" t="str">
        <x:v>A3</x:v>
      </x:c>
      <x:c r="B27" t="str">
        <x:v>K4</x:v>
      </x:c>
      <x:c r="C27" t="str">
        <x:v>Benefit</x:v>
      </x:c>
      <x:c r="D27" t="n">
        <x:v>9</x:v>
      </x:c>
      <x:c r="E27" t="n">
        <x:v>8</x:v>
      </x:c>
      <x:c r="F27" t="n">
        <x:v>9</x:v>
      </x:c>
      <x:c r="G27" t="n">
        <x:f>MIN(D27:F27)</x:f>
        <x:v>8</x:v>
      </x:c>
      <x:c r="H27" t="n">
        <x:f>MEDIAN(D27:F27)</x:f>
        <x:v>9</x:v>
      </x:c>
      <x:c r="I27" t="n">
        <x:f>MAX(D27:F27)</x:f>
        <x:v>9</x:v>
      </x:c>
    </x:row>
    <x:row r="28">
      <x:c r="A28" t="str">
        <x:v>A3</x:v>
      </x:c>
      <x:c r="B28" t="str">
        <x:v>K5</x:v>
      </x:c>
      <x:c r="C28" t="str">
        <x:v>Cost</x:v>
      </x:c>
      <x:c r="D28" t="n">
        <x:v>8</x:v>
      </x:c>
      <x:c r="E28" t="n">
        <x:v>8</x:v>
      </x:c>
      <x:c r="F28" t="n">
        <x:v>7</x:v>
      </x:c>
      <x:c r="G28" t="n">
        <x:f>MIN(D28:F28)</x:f>
        <x:v>7</x:v>
      </x:c>
      <x:c r="H28" t="n">
        <x:f>MEDIAN(D28:F28)</x:f>
        <x:v>8</x:v>
      </x:c>
      <x:c r="I28" t="n">
        <x:f>MAX(D28:F28)</x:f>
        <x:v>8</x:v>
      </x:c>
    </x:row>
    <x:row r="29">
      <x:c r="A29" t="str">
        <x:v>A3</x:v>
      </x:c>
      <x:c r="B29" t="str">
        <x:v>K6</x:v>
      </x:c>
      <x:c r="C29" t="str">
        <x:v>Cost</x:v>
      </x:c>
      <x:c r="D29" t="n">
        <x:v>7</x:v>
      </x:c>
      <x:c r="E29" t="n">
        <x:v>7</x:v>
      </x:c>
      <x:c r="F29" t="n">
        <x:v>6</x:v>
      </x:c>
      <x:c r="G29" t="n">
        <x:f>MIN(D29:F29)</x:f>
        <x:v>6</x:v>
      </x:c>
      <x:c r="H29" t="n">
        <x:f>MEDIAN(D29:F29)</x:f>
        <x:v>7</x:v>
      </x:c>
      <x:c r="I29" t="n">
        <x:f>MAX(D29:F29)</x:f>
        <x:v>7</x:v>
      </x:c>
    </x:row>
    <x:row r="30">
      <x:c r="A30" t="str">
        <x:v>A3</x:v>
      </x:c>
      <x:c r="B30" t="str">
        <x:v>K7</x:v>
      </x:c>
      <x:c r="C30" t="str">
        <x:v>Cost</x:v>
      </x:c>
      <x:c r="D30" t="n">
        <x:v>8</x:v>
      </x:c>
      <x:c r="E30" t="n">
        <x:v>8</x:v>
      </x:c>
      <x:c r="F30" t="n">
        <x:v>7</x:v>
      </x:c>
      <x:c r="G30" t="n">
        <x:f>MIN(D30:F30)</x:f>
        <x:v>7</x:v>
      </x:c>
      <x:c r="H30" t="n">
        <x:f>MEDIAN(D30:F30)</x:f>
        <x:v>8</x:v>
      </x:c>
      <x:c r="I30" t="n">
        <x:f>MAX(D30:F30)</x:f>
        <x:v>8</x:v>
      </x:c>
    </x:row>
    <x:row r="31">
      <x:c r="A31" t="str">
        <x:v>A4</x:v>
      </x:c>
      <x:c r="B31" t="str">
        <x:v>K1</x:v>
      </x:c>
      <x:c r="C31" t="str">
        <x:v>Benefit</x:v>
      </x:c>
      <x:c r="D31" t="n">
        <x:v>7</x:v>
      </x:c>
      <x:c r="E31" t="n">
        <x:v>8</x:v>
      </x:c>
      <x:c r="F31" t="n">
        <x:v>7</x:v>
      </x:c>
      <x:c r="G31" t="n">
        <x:f>MIN(D31:F31)</x:f>
        <x:v>7</x:v>
      </x:c>
      <x:c r="H31" t="n">
        <x:f>MEDIAN(D31:F31)</x:f>
        <x:v>7</x:v>
      </x:c>
      <x:c r="I31" t="n">
        <x:f>MAX(D31:F31)</x:f>
        <x:v>8</x:v>
      </x:c>
    </x:row>
    <x:row r="32">
      <x:c r="A32" t="str">
        <x:v>A4</x:v>
      </x:c>
      <x:c r="B32" t="str">
        <x:v>K2</x:v>
      </x:c>
      <x:c r="C32" t="str">
        <x:v>Benefit</x:v>
      </x:c>
      <x:c r="D32" t="n">
        <x:v>7</x:v>
      </x:c>
      <x:c r="E32" t="n">
        <x:v>6</x:v>
      </x:c>
      <x:c r="F32" t="n">
        <x:v>7</x:v>
      </x:c>
      <x:c r="G32" t="n">
        <x:f>MIN(D32:F32)</x:f>
        <x:v>6</x:v>
      </x:c>
      <x:c r="H32" t="n">
        <x:f>MEDIAN(D32:F32)</x:f>
        <x:v>7</x:v>
      </x:c>
      <x:c r="I32" t="n">
        <x:f>MAX(D32:F32)</x:f>
        <x:v>7</x:v>
      </x:c>
    </x:row>
    <x:row r="33">
      <x:c r="A33" t="str">
        <x:v>A4</x:v>
      </x:c>
      <x:c r="B33" t="str">
        <x:v>K3</x:v>
      </x:c>
      <x:c r="C33" t="str">
        <x:v>Benefit</x:v>
      </x:c>
      <x:c r="D33" t="n">
        <x:v>6</x:v>
      </x:c>
      <x:c r="E33" t="n">
        <x:v>6</x:v>
      </x:c>
      <x:c r="F33" t="n">
        <x:v>7</x:v>
      </x:c>
      <x:c r="G33" t="n">
        <x:f>MIN(D33:F33)</x:f>
        <x:v>6</x:v>
      </x:c>
      <x:c r="H33" t="n">
        <x:f>MEDIAN(D33:F33)</x:f>
        <x:v>6</x:v>
      </x:c>
      <x:c r="I33" t="n">
        <x:f>MAX(D33:F33)</x:f>
        <x:v>7</x:v>
      </x:c>
    </x:row>
    <x:row r="34">
      <x:c r="A34" t="str">
        <x:v>A4</x:v>
      </x:c>
      <x:c r="B34" t="str">
        <x:v>K4</x:v>
      </x:c>
      <x:c r="C34" t="str">
        <x:v>Benefit</x:v>
      </x:c>
      <x:c r="D34" t="n">
        <x:v>7</x:v>
      </x:c>
      <x:c r="E34" t="n">
        <x:v>7</x:v>
      </x:c>
      <x:c r="F34" t="n">
        <x:v>8</x:v>
      </x:c>
      <x:c r="G34" t="n">
        <x:f>MIN(D34:F34)</x:f>
        <x:v>7</x:v>
      </x:c>
      <x:c r="H34" t="n">
        <x:f>MEDIAN(D34:F34)</x:f>
        <x:v>7</x:v>
      </x:c>
      <x:c r="I34" t="n">
        <x:f>MAX(D34:F34)</x:f>
        <x:v>8</x:v>
      </x:c>
    </x:row>
    <x:row r="35">
      <x:c r="A35" t="str">
        <x:v>A4</x:v>
      </x:c>
      <x:c r="B35" t="str">
        <x:v>K5</x:v>
      </x:c>
      <x:c r="C35" t="str">
        <x:v>Cost</x:v>
      </x:c>
      <x:c r="D35" t="n">
        <x:v>5</x:v>
      </x:c>
      <x:c r="E35" t="n">
        <x:v>4</x:v>
      </x:c>
      <x:c r="F35" t="n">
        <x:v>5</x:v>
      </x:c>
      <x:c r="G35" t="n">
        <x:f>MIN(D35:F35)</x:f>
        <x:v>4</x:v>
      </x:c>
      <x:c r="H35" t="n">
        <x:f>MEDIAN(D35:F35)</x:f>
        <x:v>5</x:v>
      </x:c>
      <x:c r="I35" t="n">
        <x:f>MAX(D35:F35)</x:f>
        <x:v>5</x:v>
      </x:c>
    </x:row>
    <x:row r="36">
      <x:c r="A36" t="str">
        <x:v>A4</x:v>
      </x:c>
      <x:c r="B36" t="str">
        <x:v>K6</x:v>
      </x:c>
      <x:c r="C36" t="str">
        <x:v>Cost</x:v>
      </x:c>
      <x:c r="D36" t="n">
        <x:v>3</x:v>
      </x:c>
      <x:c r="E36" t="n">
        <x:v>4</x:v>
      </x:c>
      <x:c r="F36" t="n">
        <x:v>3</x:v>
      </x:c>
      <x:c r="G36" t="n">
        <x:f>MIN(D36:F36)</x:f>
        <x:v>3</x:v>
      </x:c>
      <x:c r="H36" t="n">
        <x:f>MEDIAN(D36:F36)</x:f>
        <x:v>3</x:v>
      </x:c>
      <x:c r="I36" t="n">
        <x:f>MAX(D36:F36)</x:f>
        <x:v>4</x:v>
      </x:c>
    </x:row>
    <x:row r="37">
      <x:c r="A37" t="str">
        <x:v>A4</x:v>
      </x:c>
      <x:c r="B37" t="str">
        <x:v>K7</x:v>
      </x:c>
      <x:c r="C37" t="str">
        <x:v>Cost</x:v>
      </x:c>
      <x:c r="D37" t="n">
        <x:v>4</x:v>
      </x:c>
      <x:c r="E37" t="n">
        <x:v>4</x:v>
      </x:c>
      <x:c r="F37" t="n">
        <x:v>4</x:v>
      </x:c>
      <x:c r="G37" t="n">
        <x:f>MIN(D37:F37)</x:f>
        <x:v>4</x:v>
      </x:c>
      <x:c r="H37" t="n">
        <x:f>MEDIAN(D37:F37)</x:f>
        <x:v>4</x:v>
      </x:c>
      <x:c r="I37" t="n">
        <x:f>MAX(D37:F37)</x:f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Критерий</x:v>
      </x:c>
      <x:c r="B1" s="2" t="str">
        <x:v>l вес</x:v>
      </x:c>
      <x:c r="C1" s="2" t="str">
        <x:v>m вес</x:v>
      </x:c>
      <x:c r="D1" s="2" t="str">
        <x:v>u вес</x:v>
      </x:c>
      <x:c r="E1" s="2" t="str">
        <x:v>Тип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t="str">
        <x:v>K1</x:v>
      </x:c>
      <x:c r="B2" t="n">
        <x:f>'Оценки'!G2/10</x:f>
        <x:v>0.9</x:v>
      </x:c>
      <x:c r="C2" t="n">
        <x:f>'Оценки'!H2/10</x:f>
        <x:v>0.9</x:v>
      </x:c>
      <x:c r="D2" t="n">
        <x:f>'Оценки'!I2/10</x:f>
        <x:v>1</x:v>
      </x:c>
      <x:c r="E2" t="str">
        <x:v>Benefit</x:v>
      </x:c>
    </x:row>
    <x:row r="3">
      <x:c r="A3" t="str">
        <x:v>K2</x:v>
      </x:c>
      <x:c r="B3" t="n">
        <x:f>'Оценки'!G3/10</x:f>
        <x:v>0.8</x:v>
      </x:c>
      <x:c r="C3" t="n">
        <x:f>'Оценки'!H3/10</x:f>
        <x:v>0.8</x:v>
      </x:c>
      <x:c r="D3" t="n">
        <x:f>'Оценки'!I3/10</x:f>
        <x:v>0.9</x:v>
      </x:c>
      <x:c r="E3" t="str">
        <x:v>Benefit</x:v>
      </x:c>
    </x:row>
    <x:row r="4">
      <x:c r="A4" t="str">
        <x:v>K3</x:v>
      </x:c>
      <x:c r="B4" t="n">
        <x:f>'Оценки'!G4/10</x:f>
        <x:v>0.7</x:v>
      </x:c>
      <x:c r="C4" t="n">
        <x:f>'Оценки'!H4/10</x:f>
        <x:v>0.8</x:v>
      </x:c>
      <x:c r="D4" t="n">
        <x:f>'Оценки'!I4/10</x:f>
        <x:v>0.8</x:v>
      </x:c>
      <x:c r="E4" t="str">
        <x:v>Benefit</x:v>
      </x:c>
    </x:row>
    <x:row r="5">
      <x:c r="A5" t="str">
        <x:v>K4</x:v>
      </x:c>
      <x:c r="B5" t="n">
        <x:f>'Оценки'!G5/10</x:f>
        <x:v>0.8</x:v>
      </x:c>
      <x:c r="C5" t="n">
        <x:f>'Оценки'!H5/10</x:f>
        <x:v>0.9</x:v>
      </x:c>
      <x:c r="D5" t="n">
        <x:f>'Оценки'!I5/10</x:f>
        <x:v>0.9</x:v>
      </x:c>
      <x:c r="E5" t="str">
        <x:v>Benefit</x:v>
      </x:c>
    </x:row>
    <x:row r="6">
      <x:c r="A6" t="str">
        <x:v>K5</x:v>
      </x:c>
      <x:c r="B6" t="n">
        <x:f>'Оценки'!G6/10</x:f>
        <x:v>0.9</x:v>
      </x:c>
      <x:c r="C6" t="n">
        <x:f>'Оценки'!H6/10</x:f>
        <x:v>0.9</x:v>
      </x:c>
      <x:c r="D6" t="n">
        <x:f>'Оценки'!I6/10</x:f>
        <x:v>1</x:v>
      </x:c>
      <x:c r="E6" t="str">
        <x:v>Cost</x:v>
      </x:c>
    </x:row>
    <x:row r="7">
      <x:c r="A7" t="str">
        <x:v>K6</x:v>
      </x:c>
      <x:c r="B7" t="n">
        <x:f>'Оценки'!G7/10</x:f>
        <x:v>0.7</x:v>
      </x:c>
      <x:c r="C7" t="n">
        <x:f>'Оценки'!H7/10</x:f>
        <x:v>0.8</x:v>
      </x:c>
      <x:c r="D7" t="n">
        <x:f>'Оценки'!I7/10</x:f>
        <x:v>0.8</x:v>
      </x:c>
      <x:c r="E7" t="str">
        <x:v>Cost</x:v>
      </x:c>
    </x:row>
    <x:row r="8">
      <x:c r="A8" t="str">
        <x:v>K7</x:v>
      </x:c>
      <x:c r="B8" t="n">
        <x:f>'Оценки'!G8/10</x:f>
        <x:v>0.7</x:v>
      </x:c>
      <x:c r="C8" t="n">
        <x:f>'Оценки'!H8/10</x:f>
        <x:v>0.7</x:v>
      </x:c>
      <x:c r="D8" t="n">
        <x:f>'Оценки'!I8/10</x:f>
        <x:v>0.8</x:v>
      </x:c>
      <x:c r="E8" t="str">
        <x:v>Cost</x:v>
      </x:c>
    </x:row>
    <x:row r="10">
      <x:c r="A10" t="str">
        <x:v>Альтернатива</x:v>
      </x:c>
      <x:c r="B10" t="str">
        <x:v>K1 l</x:v>
      </x:c>
      <x:c r="C10" t="str">
        <x:v>K1 m</x:v>
      </x:c>
      <x:c r="D10" t="str">
        <x:v>K1 u</x:v>
      </x:c>
      <x:c r="E10" t="str">
        <x:v>K2 l</x:v>
      </x:c>
      <x:c r="F10" t="str">
        <x:v>K2 m</x:v>
      </x:c>
      <x:c r="G10" t="str">
        <x:v>K2 u</x:v>
      </x:c>
      <x:c r="H10" t="str">
        <x:v>K3 l</x:v>
      </x:c>
      <x:c r="I10" t="str">
        <x:v>K3 m</x:v>
      </x:c>
      <x:c r="J10" t="str">
        <x:v>K3 u</x:v>
      </x:c>
      <x:c r="K10" t="str">
        <x:v>K4 l</x:v>
      </x:c>
      <x:c r="L10" t="str">
        <x:v>K4 m</x:v>
      </x:c>
      <x:c r="M10" t="str">
        <x:v>K4 u</x:v>
      </x:c>
      <x:c r="N10" t="str">
        <x:v>K5 l</x:v>
      </x:c>
      <x:c r="O10" t="str">
        <x:v>K5 m</x:v>
      </x:c>
      <x:c r="P10" t="str">
        <x:v>K5 u</x:v>
      </x:c>
      <x:c r="Q10" t="str">
        <x:v>K6 l</x:v>
      </x:c>
      <x:c r="R10" t="str">
        <x:v>K6 m</x:v>
      </x:c>
      <x:c r="S10" t="str">
        <x:v>K6 u</x:v>
      </x:c>
      <x:c r="T10" t="str">
        <x:v>K7 l</x:v>
      </x:c>
      <x:c r="U10" t="str">
        <x:v>K7 m</x:v>
      </x:c>
      <x:c r="V10" t="str">
        <x:v>K7 u</x:v>
      </x:c>
    </x:row>
    <x:row r="11">
      <x:c r="A11" t="str">
        <x:v>A1</x:v>
      </x:c>
      <x:c r="B11" t="n">
        <x:f>'Оценки'!G10</x:f>
        <x:v>9</x:v>
      </x:c>
      <x:c r="C11" t="n">
        <x:f>'Оценки'!H10</x:f>
        <x:v>9</x:v>
      </x:c>
      <x:c r="D11" t="n">
        <x:f>'Оценки'!I10</x:f>
        <x:v>10</x:v>
      </x:c>
      <x:c r="E11" t="n">
        <x:f>'Оценки'!G11</x:f>
        <x:v>8</x:v>
      </x:c>
      <x:c r="F11" t="n">
        <x:f>'Оценки'!H11</x:f>
        <x:v>8</x:v>
      </x:c>
      <x:c r="G11" t="n">
        <x:f>'Оценки'!I11</x:f>
        <x:v>9</x:v>
      </x:c>
      <x:c r="H11" t="n">
        <x:f>'Оценки'!G12</x:f>
        <x:v>7</x:v>
      </x:c>
      <x:c r="I11" t="n">
        <x:f>'Оценки'!H12</x:f>
        <x:v>8</x:v>
      </x:c>
      <x:c r="J11" t="n">
        <x:f>'Оценки'!I12</x:f>
        <x:v>8</x:v>
      </x:c>
      <x:c r="K11" t="n">
        <x:f>'Оценки'!G13</x:f>
        <x:v>9</x:v>
      </x:c>
      <x:c r="L11" t="n">
        <x:f>'Оценки'!H13</x:f>
        <x:v>9</x:v>
      </x:c>
      <x:c r="M11" t="n">
        <x:f>'Оценки'!I13</x:f>
        <x:v>10</x:v>
      </x:c>
      <x:c r="N11" t="n">
        <x:f>'Оценки'!G14</x:f>
        <x:v>5</x:v>
      </x:c>
      <x:c r="O11" t="n">
        <x:f>'Оценки'!H14</x:f>
        <x:v>6</x:v>
      </x:c>
      <x:c r="P11" t="n">
        <x:f>'Оценки'!I14</x:f>
        <x:v>6</x:v>
      </x:c>
      <x:c r="Q11" t="n">
        <x:f>'Оценки'!G15</x:f>
        <x:v>4</x:v>
      </x:c>
      <x:c r="R11" t="n">
        <x:f>'Оценки'!H15</x:f>
        <x:v>4</x:v>
      </x:c>
      <x:c r="S11" t="n">
        <x:f>'Оценки'!I15</x:f>
        <x:v>5</x:v>
      </x:c>
      <x:c r="T11" t="n">
        <x:f>'Оценки'!G16</x:f>
        <x:v>5</x:v>
      </x:c>
      <x:c r="U11" t="n">
        <x:f>'Оценки'!H16</x:f>
        <x:v>5</x:v>
      </x:c>
      <x:c r="V11" t="n">
        <x:f>'Оценки'!I16</x:f>
        <x:v>5</x:v>
      </x:c>
    </x:row>
    <x:row r="12">
      <x:c r="A12" t="str">
        <x:v>A2</x:v>
      </x:c>
      <x:c r="B12" t="n">
        <x:f>'Оценки'!G17</x:f>
        <x:v>9</x:v>
      </x:c>
      <x:c r="C12" t="n">
        <x:f>'Оценки'!H17</x:f>
        <x:v>9</x:v>
      </x:c>
      <x:c r="D12" t="n">
        <x:f>'Оценки'!I17</x:f>
        <x:v>10</x:v>
      </x:c>
      <x:c r="E12" t="n">
        <x:f>'Оценки'!G18</x:f>
        <x:v>9</x:v>
      </x:c>
      <x:c r="F12" t="n">
        <x:f>'Оценки'!H18</x:f>
        <x:v>9</x:v>
      </x:c>
      <x:c r="G12" t="n">
        <x:f>'Оценки'!I18</x:f>
        <x:v>9</x:v>
      </x:c>
      <x:c r="H12" t="n">
        <x:f>'Оценки'!G19</x:f>
        <x:v>9</x:v>
      </x:c>
      <x:c r="I12" t="n">
        <x:f>'Оценки'!H19</x:f>
        <x:v>10</x:v>
      </x:c>
      <x:c r="J12" t="n">
        <x:f>'Оценки'!I19</x:f>
        <x:v>10</x:v>
      </x:c>
      <x:c r="K12" t="n">
        <x:f>'Оценки'!G20</x:f>
        <x:v>8</x:v>
      </x:c>
      <x:c r="L12" t="n">
        <x:f>'Оценки'!H20</x:f>
        <x:v>8</x:v>
      </x:c>
      <x:c r="M12" t="n">
        <x:f>'Оценки'!I20</x:f>
        <x:v>8</x:v>
      </x:c>
      <x:c r="N12" t="n">
        <x:f>'Оценки'!G21</x:f>
        <x:v>8</x:v>
      </x:c>
      <x:c r="O12" t="n">
        <x:f>'Оценки'!H21</x:f>
        <x:v>8</x:v>
      </x:c>
      <x:c r="P12" t="n">
        <x:f>'Оценки'!I21</x:f>
        <x:v>9</x:v>
      </x:c>
      <x:c r="Q12" t="n">
        <x:f>'Оценки'!G22</x:f>
        <x:v>7</x:v>
      </x:c>
      <x:c r="R12" t="n">
        <x:f>'Оценки'!H22</x:f>
        <x:v>8</x:v>
      </x:c>
      <x:c r="S12" t="n">
        <x:f>'Оценки'!I22</x:f>
        <x:v>8</x:v>
      </x:c>
      <x:c r="T12" t="n">
        <x:f>'Оценки'!G23</x:f>
        <x:v>8</x:v>
      </x:c>
      <x:c r="U12" t="n">
        <x:f>'Оценки'!H23</x:f>
        <x:v>8</x:v>
      </x:c>
      <x:c r="V12" t="n">
        <x:f>'Оценки'!I23</x:f>
        <x:v>9</x:v>
      </x:c>
    </x:row>
    <x:row r="13">
      <x:c r="A13" t="str">
        <x:v>A3</x:v>
      </x:c>
      <x:c r="B13" t="n">
        <x:f>'Оценки'!G24</x:f>
        <x:v>10</x:v>
      </x:c>
      <x:c r="C13" t="n">
        <x:f>'Оценки'!H24</x:f>
        <x:v>10</x:v>
      </x:c>
      <x:c r="D13" t="n">
        <x:f>'Оценки'!I24</x:f>
        <x:v>10</x:v>
      </x:c>
      <x:c r="E13" t="n">
        <x:f>'Оценки'!G25</x:f>
        <x:v>9</x:v>
      </x:c>
      <x:c r="F13" t="n">
        <x:f>'Оценки'!H25</x:f>
        <x:v>9</x:v>
      </x:c>
      <x:c r="G13" t="n">
        <x:f>'Оценки'!I25</x:f>
        <x:v>9</x:v>
      </x:c>
      <x:c r="H13" t="n">
        <x:f>'Оценки'!G26</x:f>
        <x:v>9</x:v>
      </x:c>
      <x:c r="I13" t="n">
        <x:f>'Оценки'!H26</x:f>
        <x:v>9</x:v>
      </x:c>
      <x:c r="J13" t="n">
        <x:f>'Оценки'!I26</x:f>
        <x:v>9</x:v>
      </x:c>
      <x:c r="K13" t="n">
        <x:f>'Оценки'!G27</x:f>
        <x:v>8</x:v>
      </x:c>
      <x:c r="L13" t="n">
        <x:f>'Оценки'!H27</x:f>
        <x:v>9</x:v>
      </x:c>
      <x:c r="M13" t="n">
        <x:f>'Оценки'!I27</x:f>
        <x:v>9</x:v>
      </x:c>
      <x:c r="N13" t="n">
        <x:f>'Оценки'!G28</x:f>
        <x:v>7</x:v>
      </x:c>
      <x:c r="O13" t="n">
        <x:f>'Оценки'!H28</x:f>
        <x:v>8</x:v>
      </x:c>
      <x:c r="P13" t="n">
        <x:f>'Оценки'!I28</x:f>
        <x:v>8</x:v>
      </x:c>
      <x:c r="Q13" t="n">
        <x:f>'Оценки'!G29</x:f>
        <x:v>6</x:v>
      </x:c>
      <x:c r="R13" t="n">
        <x:f>'Оценки'!H29</x:f>
        <x:v>7</x:v>
      </x:c>
      <x:c r="S13" t="n">
        <x:f>'Оценки'!I29</x:f>
        <x:v>7</x:v>
      </x:c>
      <x:c r="T13" t="n">
        <x:f>'Оценки'!G30</x:f>
        <x:v>7</x:v>
      </x:c>
      <x:c r="U13" t="n">
        <x:f>'Оценки'!H30</x:f>
        <x:v>8</x:v>
      </x:c>
      <x:c r="V13" t="n">
        <x:f>'Оценки'!I30</x:f>
        <x:v>8</x:v>
      </x:c>
    </x:row>
    <x:row r="14">
      <x:c r="A14" t="str">
        <x:v>A4</x:v>
      </x:c>
      <x:c r="B14" t="n">
        <x:f>'Оценки'!G31</x:f>
        <x:v>7</x:v>
      </x:c>
      <x:c r="C14" t="n">
        <x:f>'Оценки'!H31</x:f>
        <x:v>7</x:v>
      </x:c>
      <x:c r="D14" t="n">
        <x:f>'Оценки'!I31</x:f>
        <x:v>8</x:v>
      </x:c>
      <x:c r="E14" t="n">
        <x:f>'Оценки'!G32</x:f>
        <x:v>6</x:v>
      </x:c>
      <x:c r="F14" t="n">
        <x:f>'Оценки'!H32</x:f>
        <x:v>7</x:v>
      </x:c>
      <x:c r="G14" t="n">
        <x:f>'Оценки'!I32</x:f>
        <x:v>7</x:v>
      </x:c>
      <x:c r="H14" t="n">
        <x:f>'Оценки'!G33</x:f>
        <x:v>6</x:v>
      </x:c>
      <x:c r="I14" t="n">
        <x:f>'Оценки'!H33</x:f>
        <x:v>6</x:v>
      </x:c>
      <x:c r="J14" t="n">
        <x:f>'Оценки'!I33</x:f>
        <x:v>7</x:v>
      </x:c>
      <x:c r="K14" t="n">
        <x:f>'Оценки'!G34</x:f>
        <x:v>7</x:v>
      </x:c>
      <x:c r="L14" t="n">
        <x:f>'Оценки'!H34</x:f>
        <x:v>7</x:v>
      </x:c>
      <x:c r="M14" t="n">
        <x:f>'Оценки'!I34</x:f>
        <x:v>8</x:v>
      </x:c>
      <x:c r="N14" t="n">
        <x:f>'Оценки'!G35</x:f>
        <x:v>4</x:v>
      </x:c>
      <x:c r="O14" t="n">
        <x:f>'Оценки'!H35</x:f>
        <x:v>5</x:v>
      </x:c>
      <x:c r="P14" t="n">
        <x:f>'Оценки'!I35</x:f>
        <x:v>5</x:v>
      </x:c>
      <x:c r="Q14" t="n">
        <x:f>'Оценки'!G36</x:f>
        <x:v>3</x:v>
      </x:c>
      <x:c r="R14" t="n">
        <x:f>'Оценки'!H36</x:f>
        <x:v>3</x:v>
      </x:c>
      <x:c r="S14" t="n">
        <x:f>'Оценки'!I36</x:f>
        <x:v>4</x:v>
      </x:c>
      <x:c r="T14" t="n">
        <x:f>'Оценки'!G37</x:f>
        <x:v>4</x:v>
      </x:c>
      <x:c r="U14" t="n">
        <x:f>'Оценки'!H37</x:f>
        <x:v>4</x:v>
      </x:c>
      <x:c r="V14" t="n">
        <x:f>'Оценки'!I37</x:f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Код</x:v>
      </x:c>
      <x:c r="B1" s="2" t="str">
        <x:v>Тип</x:v>
      </x:c>
      <x:c r="C1" s="2" t="str">
        <x:v>l вес</x:v>
      </x:c>
      <x:c r="D1" s="2" t="str">
        <x:v>m вес</x:v>
      </x:c>
      <x:c r="E1" s="2" t="str">
        <x:v>u вес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t="str">
        <x:v>K1</x:v>
      </x:c>
      <x:c r="B2" t="str">
        <x:v>Benefit</x:v>
      </x:c>
      <x:c r="C2" t="n">
        <x:f>'Коллективные'!B2</x:f>
        <x:v>0.9</x:v>
      </x:c>
      <x:c r="D2" t="n">
        <x:f>'Коллективные'!C2</x:f>
        <x:v>0.9</x:v>
      </x:c>
      <x:c r="E2" t="n">
        <x:f>'Коллективные'!D2</x:f>
        <x:v>1</x:v>
      </x:c>
    </x:row>
    <x:row r="3">
      <x:c r="A3" t="str">
        <x:v>K2</x:v>
      </x:c>
      <x:c r="B3" t="str">
        <x:v>Benefit</x:v>
      </x:c>
      <x:c r="C3" t="n">
        <x:f>'Коллективные'!B3</x:f>
        <x:v>0.8</x:v>
      </x:c>
      <x:c r="D3" t="n">
        <x:f>'Коллективные'!C3</x:f>
        <x:v>0.8</x:v>
      </x:c>
      <x:c r="E3" t="n">
        <x:f>'Коллективные'!D3</x:f>
        <x:v>0.9</x:v>
      </x:c>
    </x:row>
    <x:row r="4">
      <x:c r="A4" t="str">
        <x:v>K3</x:v>
      </x:c>
      <x:c r="B4" t="str">
        <x:v>Benefit</x:v>
      </x:c>
      <x:c r="C4" t="n">
        <x:f>'Коллективные'!B4</x:f>
        <x:v>0.7</x:v>
      </x:c>
      <x:c r="D4" t="n">
        <x:f>'Коллективные'!C4</x:f>
        <x:v>0.8</x:v>
      </x:c>
      <x:c r="E4" t="n">
        <x:f>'Коллективные'!D4</x:f>
        <x:v>0.8</x:v>
      </x:c>
    </x:row>
    <x:row r="5">
      <x:c r="A5" t="str">
        <x:v>K4</x:v>
      </x:c>
      <x:c r="B5" t="str">
        <x:v>Benefit</x:v>
      </x:c>
      <x:c r="C5" t="n">
        <x:f>'Коллективные'!B5</x:f>
        <x:v>0.8</x:v>
      </x:c>
      <x:c r="D5" t="n">
        <x:f>'Коллективные'!C5</x:f>
        <x:v>0.9</x:v>
      </x:c>
      <x:c r="E5" t="n">
        <x:f>'Коллективные'!D5</x:f>
        <x:v>0.9</x:v>
      </x:c>
    </x:row>
    <x:row r="6">
      <x:c r="A6" t="str">
        <x:v>K5</x:v>
      </x:c>
      <x:c r="B6" t="str">
        <x:v>Cost</x:v>
      </x:c>
      <x:c r="C6" t="n">
        <x:f>'Коллективные'!B6</x:f>
        <x:v>0.9</x:v>
      </x:c>
      <x:c r="D6" t="n">
        <x:f>'Коллективные'!C6</x:f>
        <x:v>0.9</x:v>
      </x:c>
      <x:c r="E6" t="n">
        <x:f>'Коллективные'!D6</x:f>
        <x:v>1</x:v>
      </x:c>
    </x:row>
    <x:row r="7">
      <x:c r="A7" t="str">
        <x:v>K6</x:v>
      </x:c>
      <x:c r="B7" t="str">
        <x:v>Cost</x:v>
      </x:c>
      <x:c r="C7" t="n">
        <x:f>'Коллективные'!B7</x:f>
        <x:v>0.7</x:v>
      </x:c>
      <x:c r="D7" t="n">
        <x:f>'Коллективные'!C7</x:f>
        <x:v>0.8</x:v>
      </x:c>
      <x:c r="E7" t="n">
        <x:f>'Коллективные'!D7</x:f>
        <x:v>0.8</x:v>
      </x:c>
    </x:row>
    <x:row r="8">
      <x:c r="A8" t="str">
        <x:v>K7</x:v>
      </x:c>
      <x:c r="B8" t="str">
        <x:v>Cost</x:v>
      </x:c>
      <x:c r="C8" t="n">
        <x:f>'Коллективные'!B8</x:f>
        <x:v>0.7</x:v>
      </x:c>
      <x:c r="D8" t="n">
        <x:f>'Коллективные'!C8</x:f>
        <x:v>0.7</x:v>
      </x:c>
      <x:c r="E8" t="n">
        <x:f>'Коллективные'!D8</x:f>
        <x:v>0.8</x:v>
      </x:c>
    </x:row>
    <x:row r="10">
      <x:c r="A10" t="str">
        <x:v>Альтернатива</x:v>
      </x:c>
      <x:c r="B10" t="str">
        <x:v>K1 l</x:v>
      </x:c>
      <x:c r="C10" t="str">
        <x:v>K1 m</x:v>
      </x:c>
      <x:c r="D10" t="str">
        <x:v>K1 u</x:v>
      </x:c>
      <x:c r="E10" t="str">
        <x:v>K2 l</x:v>
      </x:c>
      <x:c r="F10" t="str">
        <x:v>K2 m</x:v>
      </x:c>
      <x:c r="G10" t="str">
        <x:v>K2 u</x:v>
      </x:c>
      <x:c r="H10" t="str">
        <x:v>K3 l</x:v>
      </x:c>
      <x:c r="I10" t="str">
        <x:v>K3 m</x:v>
      </x:c>
      <x:c r="J10" t="str">
        <x:v>K3 u</x:v>
      </x:c>
      <x:c r="K10" t="str">
        <x:v>K4 l</x:v>
      </x:c>
      <x:c r="L10" t="str">
        <x:v>K4 m</x:v>
      </x:c>
      <x:c r="M10" t="str">
        <x:v>K4 u</x:v>
      </x:c>
      <x:c r="N10" t="str">
        <x:v>K5 l</x:v>
      </x:c>
      <x:c r="O10" t="str">
        <x:v>K5 m</x:v>
      </x:c>
      <x:c r="P10" t="str">
        <x:v>K5 u</x:v>
      </x:c>
      <x:c r="Q10" t="str">
        <x:v>K6 l</x:v>
      </x:c>
      <x:c r="R10" t="str">
        <x:v>K6 m</x:v>
      </x:c>
      <x:c r="S10" t="str">
        <x:v>K6 u</x:v>
      </x:c>
      <x:c r="T10" t="str">
        <x:v>K7 l</x:v>
      </x:c>
      <x:c r="U10" t="str">
        <x:v>K7 m</x:v>
      </x:c>
      <x:c r="V10" t="str">
        <x:v>K7 u</x:v>
      </x:c>
    </x:row>
    <x:row r="11">
      <x:c r="A11" t="str">
        <x:v>A1</x:v>
      </x:c>
      <x:c r="B11" t="n">
        <x:f>'Коллективные'!B11/MAX('Коллективные'!D$11:D$14)</x:f>
        <x:v>0.9</x:v>
      </x:c>
      <x:c r="C11" t="n">
        <x:f>'Коллективные'!C11/MAX('Коллективные'!D$11:D$14)</x:f>
        <x:v>0.9</x:v>
      </x:c>
      <x:c r="D11" t="n">
        <x:f>'Коллективные'!D11/MAX('Коллективные'!D$11:D$14)</x:f>
        <x:v>1</x:v>
      </x:c>
      <x:c r="E11" t="n">
        <x:f>'Коллективные'!E11/MAX('Коллективные'!G$11:G$14)</x:f>
        <x:v>0.8888888888888888</x:v>
      </x:c>
      <x:c r="F11" t="n">
        <x:f>'Коллективные'!F11/MAX('Коллективные'!G$11:G$14)</x:f>
        <x:v>0.8888888888888888</x:v>
      </x:c>
      <x:c r="G11" t="n">
        <x:f>'Коллективные'!G11/MAX('Коллективные'!G$11:G$14)</x:f>
        <x:v>1</x:v>
      </x:c>
      <x:c r="H11" t="n">
        <x:f>'Коллективные'!H11/MAX('Коллективные'!J$11:J$14)</x:f>
        <x:v>0.7</x:v>
      </x:c>
      <x:c r="I11" t="n">
        <x:f>'Коллективные'!I11/MAX('Коллективные'!J$11:J$14)</x:f>
        <x:v>0.8</x:v>
      </x:c>
      <x:c r="J11" t="n">
        <x:f>'Коллективные'!J11/MAX('Коллективные'!J$11:J$14)</x:f>
        <x:v>0.8</x:v>
      </x:c>
      <x:c r="K11" t="n">
        <x:f>'Коллективные'!K11/MAX('Коллективные'!M$11:M$14)</x:f>
        <x:v>0.9</x:v>
      </x:c>
      <x:c r="L11" t="n">
        <x:f>'Коллективные'!L11/MAX('Коллективные'!M$11:M$14)</x:f>
        <x:v>0.9</x:v>
      </x:c>
      <x:c r="M11" t="n">
        <x:f>'Коллективные'!M11/MAX('Коллективные'!M$11:M$14)</x:f>
        <x:v>1</x:v>
      </x:c>
      <x:c r="N11" t="n">
        <x:f>MIN('Коллективные'!N$11:N$14)/'Коллективные'!P11</x:f>
        <x:v>0.6666666666666666</x:v>
      </x:c>
      <x:c r="O11" t="n">
        <x:f>MIN('Коллективные'!N$11:N$14)/'Коллективные'!O11</x:f>
        <x:v>0.6666666666666666</x:v>
      </x:c>
      <x:c r="P11" t="n">
        <x:f>MIN('Коллективные'!N$11:N$14)/'Коллективные'!N11</x:f>
        <x:v>0.8</x:v>
      </x:c>
      <x:c r="Q11" t="n">
        <x:f>MIN('Коллективные'!Q$11:Q$14)/'Коллективные'!S11</x:f>
        <x:v>0.6</x:v>
      </x:c>
      <x:c r="R11" t="n">
        <x:f>MIN('Коллективные'!Q$11:Q$14)/'Коллективные'!R11</x:f>
        <x:v>0.75</x:v>
      </x:c>
      <x:c r="S11" t="n">
        <x:f>MIN('Коллективные'!Q$11:Q$14)/'Коллективные'!Q11</x:f>
        <x:v>0.75</x:v>
      </x:c>
      <x:c r="T11" t="n">
        <x:f>MIN('Коллективные'!T$11:T$14)/'Коллективные'!V11</x:f>
        <x:v>0.8</x:v>
      </x:c>
      <x:c r="U11" t="n">
        <x:f>MIN('Коллективные'!T$11:T$14)/'Коллективные'!U11</x:f>
        <x:v>0.8</x:v>
      </x:c>
      <x:c r="V11" t="n">
        <x:f>MIN('Коллективные'!T$11:T$14)/'Коллективные'!T11</x:f>
        <x:v>0.8</x:v>
      </x:c>
    </x:row>
    <x:row r="12">
      <x:c r="A12" t="str">
        <x:v>A2</x:v>
      </x:c>
      <x:c r="B12" t="n">
        <x:f>'Коллективные'!B12/MAX('Коллективные'!D$11:D$14)</x:f>
        <x:v>0.9</x:v>
      </x:c>
      <x:c r="C12" t="n">
        <x:f>'Коллективные'!C12/MAX('Коллективные'!D$11:D$14)</x:f>
        <x:v>0.9</x:v>
      </x:c>
      <x:c r="D12" t="n">
        <x:f>'Коллективные'!D12/MAX('Коллективные'!D$11:D$14)</x:f>
        <x:v>1</x:v>
      </x:c>
      <x:c r="E12" t="n">
        <x:f>'Коллективные'!E12/MAX('Коллективные'!G$11:G$14)</x:f>
        <x:v>1</x:v>
      </x:c>
      <x:c r="F12" t="n">
        <x:f>'Коллективные'!F12/MAX('Коллективные'!G$11:G$14)</x:f>
        <x:v>1</x:v>
      </x:c>
      <x:c r="G12" t="n">
        <x:f>'Коллективные'!G12/MAX('Коллективные'!G$11:G$14)</x:f>
        <x:v>1</x:v>
      </x:c>
      <x:c r="H12" t="n">
        <x:f>'Коллективные'!H12/MAX('Коллективные'!J$11:J$14)</x:f>
        <x:v>0.9</x:v>
      </x:c>
      <x:c r="I12" t="n">
        <x:f>'Коллективные'!I12/MAX('Коллективные'!J$11:J$14)</x:f>
        <x:v>1</x:v>
      </x:c>
      <x:c r="J12" t="n">
        <x:f>'Коллективные'!J12/MAX('Коллективные'!J$11:J$14)</x:f>
        <x:v>1</x:v>
      </x:c>
      <x:c r="K12" t="n">
        <x:f>'Коллективные'!K12/MAX('Коллективные'!M$11:M$14)</x:f>
        <x:v>0.8</x:v>
      </x:c>
      <x:c r="L12" t="n">
        <x:f>'Коллективные'!L12/MAX('Коллективные'!M$11:M$14)</x:f>
        <x:v>0.8</x:v>
      </x:c>
      <x:c r="M12" t="n">
        <x:f>'Коллективные'!M12/MAX('Коллективные'!M$11:M$14)</x:f>
        <x:v>0.8</x:v>
      </x:c>
      <x:c r="N12" t="n">
        <x:f>MIN('Коллективные'!N$11:N$14)/'Коллективные'!P12</x:f>
        <x:v>0.4444444444444444</x:v>
      </x:c>
      <x:c r="O12" t="n">
        <x:f>MIN('Коллективные'!N$11:N$14)/'Коллективные'!O12</x:f>
        <x:v>0.5</x:v>
      </x:c>
      <x:c r="P12" t="n">
        <x:f>MIN('Коллективные'!N$11:N$14)/'Коллективные'!N12</x:f>
        <x:v>0.5</x:v>
      </x:c>
      <x:c r="Q12" t="n">
        <x:f>MIN('Коллективные'!Q$11:Q$14)/'Коллективные'!S12</x:f>
        <x:v>0.375</x:v>
      </x:c>
      <x:c r="R12" t="n">
        <x:f>MIN('Коллективные'!Q$11:Q$14)/'Коллективные'!R12</x:f>
        <x:v>0.375</x:v>
      </x:c>
      <x:c r="S12" t="n">
        <x:f>MIN('Коллективные'!Q$11:Q$14)/'Коллективные'!Q12</x:f>
        <x:v>0.42857142857142855</x:v>
      </x:c>
      <x:c r="T12" t="n">
        <x:f>MIN('Коллективные'!T$11:T$14)/'Коллективные'!V12</x:f>
        <x:v>0.4444444444444444</x:v>
      </x:c>
      <x:c r="U12" t="n">
        <x:f>MIN('Коллективные'!T$11:T$14)/'Коллективные'!U12</x:f>
        <x:v>0.5</x:v>
      </x:c>
      <x:c r="V12" t="n">
        <x:f>MIN('Коллективные'!T$11:T$14)/'Коллективные'!T12</x:f>
        <x:v>0.5</x:v>
      </x:c>
    </x:row>
    <x:row r="13">
      <x:c r="A13" t="str">
        <x:v>A3</x:v>
      </x:c>
      <x:c r="B13" t="n">
        <x:f>'Коллективные'!B13/MAX('Коллективные'!D$11:D$14)</x:f>
        <x:v>1</x:v>
      </x:c>
      <x:c r="C13" t="n">
        <x:f>'Коллективные'!C13/MAX('Коллективные'!D$11:D$14)</x:f>
        <x:v>1</x:v>
      </x:c>
      <x:c r="D13" t="n">
        <x:f>'Коллективные'!D13/MAX('Коллективные'!D$11:D$14)</x:f>
        <x:v>1</x:v>
      </x:c>
      <x:c r="E13" t="n">
        <x:f>'Коллективные'!E13/MAX('Коллективные'!G$11:G$14)</x:f>
        <x:v>1</x:v>
      </x:c>
      <x:c r="F13" t="n">
        <x:f>'Коллективные'!F13/MAX('Коллективные'!G$11:G$14)</x:f>
        <x:v>1</x:v>
      </x:c>
      <x:c r="G13" t="n">
        <x:f>'Коллективные'!G13/MAX('Коллективные'!G$11:G$14)</x:f>
        <x:v>1</x:v>
      </x:c>
      <x:c r="H13" t="n">
        <x:f>'Коллективные'!H13/MAX('Коллективные'!J$11:J$14)</x:f>
        <x:v>0.9</x:v>
      </x:c>
      <x:c r="I13" t="n">
        <x:f>'Коллективные'!I13/MAX('Коллективные'!J$11:J$14)</x:f>
        <x:v>0.9</x:v>
      </x:c>
      <x:c r="J13" t="n">
        <x:f>'Коллективные'!J13/MAX('Коллективные'!J$11:J$14)</x:f>
        <x:v>0.9</x:v>
      </x:c>
      <x:c r="K13" t="n">
        <x:f>'Коллективные'!K13/MAX('Коллективные'!M$11:M$14)</x:f>
        <x:v>0.8</x:v>
      </x:c>
      <x:c r="L13" t="n">
        <x:f>'Коллективные'!L13/MAX('Коллективные'!M$11:M$14)</x:f>
        <x:v>0.9</x:v>
      </x:c>
      <x:c r="M13" t="n">
        <x:f>'Коллективные'!M13/MAX('Коллективные'!M$11:M$14)</x:f>
        <x:v>0.9</x:v>
      </x:c>
      <x:c r="N13" t="n">
        <x:f>MIN('Коллективные'!N$11:N$14)/'Коллективные'!P13</x:f>
        <x:v>0.5</x:v>
      </x:c>
      <x:c r="O13" t="n">
        <x:f>MIN('Коллективные'!N$11:N$14)/'Коллективные'!O13</x:f>
        <x:v>0.5</x:v>
      </x:c>
      <x:c r="P13" t="n">
        <x:f>MIN('Коллективные'!N$11:N$14)/'Коллективные'!N13</x:f>
        <x:v>0.5714285714285714</x:v>
      </x:c>
      <x:c r="Q13" t="n">
        <x:f>MIN('Коллективные'!Q$11:Q$14)/'Коллективные'!S13</x:f>
        <x:v>0.42857142857142855</x:v>
      </x:c>
      <x:c r="R13" t="n">
        <x:f>MIN('Коллективные'!Q$11:Q$14)/'Коллективные'!R13</x:f>
        <x:v>0.42857142857142855</x:v>
      </x:c>
      <x:c r="S13" t="n">
        <x:f>MIN('Коллективные'!Q$11:Q$14)/'Коллективные'!Q13</x:f>
        <x:v>0.5</x:v>
      </x:c>
      <x:c r="T13" t="n">
        <x:f>MIN('Коллективные'!T$11:T$14)/'Коллективные'!V13</x:f>
        <x:v>0.5</x:v>
      </x:c>
      <x:c r="U13" t="n">
        <x:f>MIN('Коллективные'!T$11:T$14)/'Коллективные'!U13</x:f>
        <x:v>0.5</x:v>
      </x:c>
      <x:c r="V13" t="n">
        <x:f>MIN('Коллективные'!T$11:T$14)/'Коллективные'!T13</x:f>
        <x:v>0.5714285714285714</x:v>
      </x:c>
    </x:row>
    <x:row r="14">
      <x:c r="A14" t="str">
        <x:v>A4</x:v>
      </x:c>
      <x:c r="B14" t="n">
        <x:f>'Коллективные'!B14/MAX('Коллективные'!D$11:D$14)</x:f>
        <x:v>0.7</x:v>
      </x:c>
      <x:c r="C14" t="n">
        <x:f>'Коллективные'!C14/MAX('Коллективные'!D$11:D$14)</x:f>
        <x:v>0.7</x:v>
      </x:c>
      <x:c r="D14" t="n">
        <x:f>'Коллективные'!D14/MAX('Коллективные'!D$11:D$14)</x:f>
        <x:v>0.8</x:v>
      </x:c>
      <x:c r="E14" t="n">
        <x:f>'Коллективные'!E14/MAX('Коллективные'!G$11:G$14)</x:f>
        <x:v>0.6666666666666666</x:v>
      </x:c>
      <x:c r="F14" t="n">
        <x:f>'Коллективные'!F14/MAX('Коллективные'!G$11:G$14)</x:f>
        <x:v>0.7777777777777778</x:v>
      </x:c>
      <x:c r="G14" t="n">
        <x:f>'Коллективные'!G14/MAX('Коллективные'!G$11:G$14)</x:f>
        <x:v>0.7777777777777778</x:v>
      </x:c>
      <x:c r="H14" t="n">
        <x:f>'Коллективные'!H14/MAX('Коллективные'!J$11:J$14)</x:f>
        <x:v>0.6</x:v>
      </x:c>
      <x:c r="I14" t="n">
        <x:f>'Коллективные'!I14/MAX('Коллективные'!J$11:J$14)</x:f>
        <x:v>0.6</x:v>
      </x:c>
      <x:c r="J14" t="n">
        <x:f>'Коллективные'!J14/MAX('Коллективные'!J$11:J$14)</x:f>
        <x:v>0.7</x:v>
      </x:c>
      <x:c r="K14" t="n">
        <x:f>'Коллективные'!K14/MAX('Коллективные'!M$11:M$14)</x:f>
        <x:v>0.7</x:v>
      </x:c>
      <x:c r="L14" t="n">
        <x:f>'Коллективные'!L14/MAX('Коллективные'!M$11:M$14)</x:f>
        <x:v>0.7</x:v>
      </x:c>
      <x:c r="M14" t="n">
        <x:f>'Коллективные'!M14/MAX('Коллективные'!M$11:M$14)</x:f>
        <x:v>0.8</x:v>
      </x:c>
      <x:c r="N14" t="n">
        <x:f>MIN('Коллективные'!N$11:N$14)/'Коллективные'!P14</x:f>
        <x:v>0.8</x:v>
      </x:c>
      <x:c r="O14" t="n">
        <x:f>MIN('Коллективные'!N$11:N$14)/'Коллективные'!O14</x:f>
        <x:v>0.8</x:v>
      </x:c>
      <x:c r="P14" t="n">
        <x:f>MIN('Коллективные'!N$11:N$14)/'Коллективные'!N14</x:f>
        <x:v>1</x:v>
      </x:c>
      <x:c r="Q14" t="n">
        <x:f>MIN('Коллективные'!Q$11:Q$14)/'Коллективные'!S14</x:f>
        <x:v>0.75</x:v>
      </x:c>
      <x:c r="R14" t="n">
        <x:f>MIN('Коллективные'!Q$11:Q$14)/'Коллективные'!R14</x:f>
        <x:v>1</x:v>
      </x:c>
      <x:c r="S14" t="n">
        <x:f>MIN('Коллективные'!Q$11:Q$14)/'Коллективные'!Q14</x:f>
        <x:v>1</x:v>
      </x:c>
      <x:c r="T14" t="n">
        <x:f>MIN('Коллективные'!T$11:T$14)/'Коллективные'!V14</x:f>
        <x:v>1</x:v>
      </x:c>
      <x:c r="U14" t="n">
        <x:f>MIN('Коллективные'!T$11:T$14)/'Коллективные'!U14</x:f>
        <x:v>1</x:v>
      </x:c>
      <x:c r="V14" t="n">
        <x:f>MIN('Коллективные'!T$11:T$14)/'Коллективные'!T14</x:f>
        <x:v>1</x:v>
      </x:c>
    </x:row>
    <x:row r="17">
      <x:c r="A17" t="str">
        <x:v>Альтернатива</x:v>
      </x:c>
      <x:c r="B17" t="str">
        <x:v>K1 l</x:v>
      </x:c>
      <x:c r="C17" t="str">
        <x:v>K1 m</x:v>
      </x:c>
      <x:c r="D17" t="str">
        <x:v>K1 u</x:v>
      </x:c>
      <x:c r="E17" t="str">
        <x:v>K2 l</x:v>
      </x:c>
      <x:c r="F17" t="str">
        <x:v>K2 m</x:v>
      </x:c>
      <x:c r="G17" t="str">
        <x:v>K2 u</x:v>
      </x:c>
      <x:c r="H17" t="str">
        <x:v>K3 l</x:v>
      </x:c>
      <x:c r="I17" t="str">
        <x:v>K3 m</x:v>
      </x:c>
      <x:c r="J17" t="str">
        <x:v>K3 u</x:v>
      </x:c>
      <x:c r="K17" t="str">
        <x:v>K4 l</x:v>
      </x:c>
      <x:c r="L17" t="str">
        <x:v>K4 m</x:v>
      </x:c>
      <x:c r="M17" t="str">
        <x:v>K4 u</x:v>
      </x:c>
      <x:c r="N17" t="str">
        <x:v>K5 l</x:v>
      </x:c>
      <x:c r="O17" t="str">
        <x:v>K5 m</x:v>
      </x:c>
      <x:c r="P17" t="str">
        <x:v>K5 u</x:v>
      </x:c>
      <x:c r="Q17" t="str">
        <x:v>K6 l</x:v>
      </x:c>
      <x:c r="R17" t="str">
        <x:v>K6 m</x:v>
      </x:c>
      <x:c r="S17" t="str">
        <x:v>K6 u</x:v>
      </x:c>
      <x:c r="T17" t="str">
        <x:v>K7 l</x:v>
      </x:c>
      <x:c r="U17" t="str">
        <x:v>K7 m</x:v>
      </x:c>
      <x:c r="V17" t="str">
        <x:v>K7 u</x:v>
      </x:c>
    </x:row>
    <x:row r="18">
      <x:c r="A18" t="str">
        <x:v>A1</x:v>
      </x:c>
      <x:c r="B18" t="n">
        <x:f>B11*$C$2</x:f>
        <x:v>0.81</x:v>
      </x:c>
      <x:c r="C18" t="n">
        <x:f>C11*$D$2</x:f>
        <x:v>0.81</x:v>
      </x:c>
      <x:c r="D18" t="n">
        <x:f>D11*$E$2</x:f>
        <x:v>1</x:v>
      </x:c>
      <x:c r="E18" t="n">
        <x:f>E11*$C$3</x:f>
        <x:v>0.7111111111111111</x:v>
      </x:c>
      <x:c r="F18" t="n">
        <x:f>F11*$D$3</x:f>
        <x:v>0.7111111111111111</x:v>
      </x:c>
      <x:c r="G18" t="n">
        <x:f>G11*$E$3</x:f>
        <x:v>0.9</x:v>
      </x:c>
      <x:c r="H18" t="n">
        <x:f>H11*$C$4</x:f>
        <x:v>0.48999999999999994</x:v>
      </x:c>
      <x:c r="I18" t="n">
        <x:f>I11*$D$4</x:f>
        <x:v>0.6400000000000001</x:v>
      </x:c>
      <x:c r="J18" t="n">
        <x:f>J11*$E$4</x:f>
        <x:v>0.6400000000000001</x:v>
      </x:c>
      <x:c r="K18" t="n">
        <x:f>K11*$C$5</x:f>
        <x:v>0.7200000000000001</x:v>
      </x:c>
      <x:c r="L18" t="n">
        <x:f>L11*$D$5</x:f>
        <x:v>0.81</x:v>
      </x:c>
      <x:c r="M18" t="n">
        <x:f>M11*$E$5</x:f>
        <x:v>0.9</x:v>
      </x:c>
      <x:c r="N18" t="n">
        <x:f>N11*$C$6</x:f>
        <x:v>0.6</x:v>
      </x:c>
      <x:c r="O18" t="n">
        <x:f>O11*$D$6</x:f>
        <x:v>0.6</x:v>
      </x:c>
      <x:c r="P18" t="n">
        <x:f>P11*$E$6</x:f>
        <x:v>0.8</x:v>
      </x:c>
      <x:c r="Q18" t="n">
        <x:f>Q11*$C$7</x:f>
        <x:v>0.42</x:v>
      </x:c>
      <x:c r="R18" t="n">
        <x:f>R11*$D$7</x:f>
        <x:v>0.6000000000000001</x:v>
      </x:c>
      <x:c r="S18" t="n">
        <x:f>S11*$E$7</x:f>
        <x:v>0.6000000000000001</x:v>
      </x:c>
      <x:c r="T18" t="n">
        <x:f>T11*$C$8</x:f>
        <x:v>0.5599999999999999</x:v>
      </x:c>
      <x:c r="U18" t="n">
        <x:f>U11*$D$8</x:f>
        <x:v>0.5599999999999999</x:v>
      </x:c>
      <x:c r="V18" t="n">
        <x:f>V11*$E$8</x:f>
        <x:v>0.6400000000000001</x:v>
      </x:c>
    </x:row>
    <x:row r="19">
      <x:c r="A19" t="str">
        <x:v>A2</x:v>
      </x:c>
      <x:c r="B19" t="n">
        <x:f>B12*$C$2</x:f>
        <x:v>0.81</x:v>
      </x:c>
      <x:c r="C19" t="n">
        <x:f>C12*$D$2</x:f>
        <x:v>0.81</x:v>
      </x:c>
      <x:c r="D19" t="n">
        <x:f>D12*$E$2</x:f>
        <x:v>1</x:v>
      </x:c>
      <x:c r="E19" t="n">
        <x:f>E12*$C$3</x:f>
        <x:v>0.8</x:v>
      </x:c>
      <x:c r="F19" t="n">
        <x:f>F12*$D$3</x:f>
        <x:v>0.8</x:v>
      </x:c>
      <x:c r="G19" t="n">
        <x:f>G12*$E$3</x:f>
        <x:v>0.9</x:v>
      </x:c>
      <x:c r="H19" t="n">
        <x:f>H12*$C$4</x:f>
        <x:v>0.63</x:v>
      </x:c>
      <x:c r="I19" t="n">
        <x:f>I12*$D$4</x:f>
        <x:v>0.8</x:v>
      </x:c>
      <x:c r="J19" t="n">
        <x:f>J12*$E$4</x:f>
        <x:v>0.8</x:v>
      </x:c>
      <x:c r="K19" t="n">
        <x:f>K12*$C$5</x:f>
        <x:v>0.6400000000000001</x:v>
      </x:c>
      <x:c r="L19" t="n">
        <x:f>L12*$D$5</x:f>
        <x:v>0.7200000000000001</x:v>
      </x:c>
      <x:c r="M19" t="n">
        <x:f>M12*$E$5</x:f>
        <x:v>0.7200000000000001</x:v>
      </x:c>
      <x:c r="N19" t="n">
        <x:f>N12*$C$6</x:f>
        <x:v>0.39999999999999997</x:v>
      </x:c>
      <x:c r="O19" t="n">
        <x:f>O12*$D$6</x:f>
        <x:v>0.45</x:v>
      </x:c>
      <x:c r="P19" t="n">
        <x:f>P12*$E$6</x:f>
        <x:v>0.5</x:v>
      </x:c>
      <x:c r="Q19" t="n">
        <x:f>Q12*$C$7</x:f>
        <x:v>0.26249999999999996</x:v>
      </x:c>
      <x:c r="R19" t="n">
        <x:f>R12*$D$7</x:f>
        <x:v>0.30000000000000004</x:v>
      </x:c>
      <x:c r="S19" t="n">
        <x:f>S12*$E$7</x:f>
        <x:v>0.34285714285714286</x:v>
      </x:c>
      <x:c r="T19" t="n">
        <x:f>T12*$C$8</x:f>
        <x:v>0.31111111111111106</x:v>
      </x:c>
      <x:c r="U19" t="n">
        <x:f>U12*$D$8</x:f>
        <x:v>0.35</x:v>
      </x:c>
      <x:c r="V19" t="n">
        <x:f>V12*$E$8</x:f>
        <x:v>0.4</x:v>
      </x:c>
    </x:row>
    <x:row r="20">
      <x:c r="A20" t="str">
        <x:v>A3</x:v>
      </x:c>
      <x:c r="B20" t="n">
        <x:f>B13*$C$2</x:f>
        <x:v>0.9</x:v>
      </x:c>
      <x:c r="C20" t="n">
        <x:f>C13*$D$2</x:f>
        <x:v>0.9</x:v>
      </x:c>
      <x:c r="D20" t="n">
        <x:f>D13*$E$2</x:f>
        <x:v>1</x:v>
      </x:c>
      <x:c r="E20" t="n">
        <x:f>E13*$C$3</x:f>
        <x:v>0.8</x:v>
      </x:c>
      <x:c r="F20" t="n">
        <x:f>F13*$D$3</x:f>
        <x:v>0.8</x:v>
      </x:c>
      <x:c r="G20" t="n">
        <x:f>G13*$E$3</x:f>
        <x:v>0.9</x:v>
      </x:c>
      <x:c r="H20" t="n">
        <x:f>H13*$C$4</x:f>
        <x:v>0.63</x:v>
      </x:c>
      <x:c r="I20" t="n">
        <x:f>I13*$D$4</x:f>
        <x:v>0.7200000000000001</x:v>
      </x:c>
      <x:c r="J20" t="n">
        <x:f>J13*$E$4</x:f>
        <x:v>0.7200000000000001</x:v>
      </x:c>
      <x:c r="K20" t="n">
        <x:f>K13*$C$5</x:f>
        <x:v>0.6400000000000001</x:v>
      </x:c>
      <x:c r="L20" t="n">
        <x:f>L13*$D$5</x:f>
        <x:v>0.81</x:v>
      </x:c>
      <x:c r="M20" t="n">
        <x:f>M13*$E$5</x:f>
        <x:v>0.81</x:v>
      </x:c>
      <x:c r="N20" t="n">
        <x:f>N13*$C$6</x:f>
        <x:v>0.45</x:v>
      </x:c>
      <x:c r="O20" t="n">
        <x:f>O13*$D$6</x:f>
        <x:v>0.45</x:v>
      </x:c>
      <x:c r="P20" t="n">
        <x:f>P13*$E$6</x:f>
        <x:v>0.5714285714285714</x:v>
      </x:c>
      <x:c r="Q20" t="n">
        <x:f>Q13*$C$7</x:f>
        <x:v>0.3</x:v>
      </x:c>
      <x:c r="R20" t="n">
        <x:f>R13*$D$7</x:f>
        <x:v>0.34285714285714286</x:v>
      </x:c>
      <x:c r="S20" t="n">
        <x:f>S13*$E$7</x:f>
        <x:v>0.4</x:v>
      </x:c>
      <x:c r="T20" t="n">
        <x:f>T13*$C$8</x:f>
        <x:v>0.35</x:v>
      </x:c>
      <x:c r="U20" t="n">
        <x:f>U13*$D$8</x:f>
        <x:v>0.35</x:v>
      </x:c>
      <x:c r="V20" t="n">
        <x:f>V13*$E$8</x:f>
        <x:v>0.45714285714285713</x:v>
      </x:c>
    </x:row>
    <x:row r="21">
      <x:c r="A21" t="str">
        <x:v>A4</x:v>
      </x:c>
      <x:c r="B21" t="n">
        <x:f>B14*$C$2</x:f>
        <x:v>0.63</x:v>
      </x:c>
      <x:c r="C21" t="n">
        <x:f>C14*$D$2</x:f>
        <x:v>0.63</x:v>
      </x:c>
      <x:c r="D21" t="n">
        <x:f>D14*$E$2</x:f>
        <x:v>0.8</x:v>
      </x:c>
      <x:c r="E21" t="n">
        <x:f>E14*$C$3</x:f>
        <x:v>0.5333333333333333</x:v>
      </x:c>
      <x:c r="F21" t="n">
        <x:f>F14*$D$3</x:f>
        <x:v>0.6222222222222222</x:v>
      </x:c>
      <x:c r="G21" t="n">
        <x:f>G14*$E$3</x:f>
        <x:v>0.7000000000000001</x:v>
      </x:c>
      <x:c r="H21" t="n">
        <x:f>H14*$C$4</x:f>
        <x:v>0.42</x:v>
      </x:c>
      <x:c r="I21" t="n">
        <x:f>I14*$D$4</x:f>
        <x:v>0.48</x:v>
      </x:c>
      <x:c r="J21" t="n">
        <x:f>J14*$E$4</x:f>
        <x:v>0.5599999999999999</x:v>
      </x:c>
      <x:c r="K21" t="n">
        <x:f>K14*$C$5</x:f>
        <x:v>0.5599999999999999</x:v>
      </x:c>
      <x:c r="L21" t="n">
        <x:f>L14*$D$5</x:f>
        <x:v>0.63</x:v>
      </x:c>
      <x:c r="M21" t="n">
        <x:f>M14*$E$5</x:f>
        <x:v>0.7200000000000001</x:v>
      </x:c>
      <x:c r="N21" t="n">
        <x:f>N14*$C$6</x:f>
        <x:v>0.7200000000000001</x:v>
      </x:c>
      <x:c r="O21" t="n">
        <x:f>O14*$D$6</x:f>
        <x:v>0.7200000000000001</x:v>
      </x:c>
      <x:c r="P21" t="n">
        <x:f>P14*$E$6</x:f>
        <x:v>1</x:v>
      </x:c>
      <x:c r="Q21" t="n">
        <x:f>Q14*$C$7</x:f>
        <x:v>0.5249999999999999</x:v>
      </x:c>
      <x:c r="R21" t="n">
        <x:f>R14*$D$7</x:f>
        <x:v>0.8</x:v>
      </x:c>
      <x:c r="S21" t="n">
        <x:f>S14*$E$7</x:f>
        <x:v>0.8</x:v>
      </x:c>
      <x:c r="T21" t="n">
        <x:f>T14*$C$8</x:f>
        <x:v>0.7</x:v>
      </x:c>
      <x:c r="U21" t="n">
        <x:f>U14*$D$8</x:f>
        <x:v>0.7</x:v>
      </x:c>
      <x:c r="V21" t="n">
        <x:f>V14*$E$8</x:f>
        <x:v>0.8</x:v>
      </x:c>
    </x:row>
    <x:row r="24">
      <x:c r="A24" t="str">
        <x:v>Решение</x:v>
      </x:c>
      <x:c r="B24" t="str">
        <x:v>K1 l</x:v>
      </x:c>
      <x:c r="C24" t="str">
        <x:v>K1 m</x:v>
      </x:c>
      <x:c r="D24" t="str">
        <x:v>K1 u</x:v>
      </x:c>
      <x:c r="E24" t="str">
        <x:v>K2 l</x:v>
      </x:c>
      <x:c r="F24" t="str">
        <x:v>K2 m</x:v>
      </x:c>
      <x:c r="G24" t="str">
        <x:v>K2 u</x:v>
      </x:c>
      <x:c r="H24" t="str">
        <x:v>K3 l</x:v>
      </x:c>
      <x:c r="I24" t="str">
        <x:v>K3 m</x:v>
      </x:c>
      <x:c r="J24" t="str">
        <x:v>K3 u</x:v>
      </x:c>
      <x:c r="K24" t="str">
        <x:v>K4 l</x:v>
      </x:c>
      <x:c r="L24" t="str">
        <x:v>K4 m</x:v>
      </x:c>
      <x:c r="M24" t="str">
        <x:v>K4 u</x:v>
      </x:c>
      <x:c r="N24" t="str">
        <x:v>K5 l</x:v>
      </x:c>
      <x:c r="O24" t="str">
        <x:v>K5 m</x:v>
      </x:c>
      <x:c r="P24" t="str">
        <x:v>K5 u</x:v>
      </x:c>
      <x:c r="Q24" t="str">
        <x:v>K6 l</x:v>
      </x:c>
      <x:c r="R24" t="str">
        <x:v>K6 m</x:v>
      </x:c>
      <x:c r="S24" t="str">
        <x:v>K6 u</x:v>
      </x:c>
      <x:c r="T24" t="str">
        <x:v>K7 l</x:v>
      </x:c>
      <x:c r="U24" t="str">
        <x:v>K7 m</x:v>
      </x:c>
      <x:c r="V24" t="str">
        <x:v>K7 u</x:v>
      </x:c>
    </x:row>
    <x:row r="25">
      <x:c r="A25" t="str">
        <x:v>A+</x:v>
      </x:c>
      <x:c r="B25" t="n">
        <x:f>MAX(D$18:D$21)</x:f>
        <x:v>1</x:v>
      </x:c>
      <x:c r="C25" t="n">
        <x:f>MAX(D$18:D$21)</x:f>
        <x:v>1</x:v>
      </x:c>
      <x:c r="D25" t="n">
        <x:f>MAX(D$18:D$21)</x:f>
        <x:v>1</x:v>
      </x:c>
      <x:c r="E25" t="n">
        <x:f>MAX(G$18:G$21)</x:f>
        <x:v>0.9</x:v>
      </x:c>
      <x:c r="F25" t="n">
        <x:f>MAX(G$18:G$21)</x:f>
        <x:v>0.9</x:v>
      </x:c>
      <x:c r="G25" t="n">
        <x:f>MAX(G$18:G$21)</x:f>
        <x:v>0.9</x:v>
      </x:c>
      <x:c r="H25" t="n">
        <x:f>MAX(J$18:J$21)</x:f>
        <x:v>0.8</x:v>
      </x:c>
      <x:c r="I25" t="n">
        <x:f>MAX(J$18:J$21)</x:f>
        <x:v>0.8</x:v>
      </x:c>
      <x:c r="J25" t="n">
        <x:f>MAX(J$18:J$21)</x:f>
        <x:v>0.8</x:v>
      </x:c>
      <x:c r="K25" t="n">
        <x:f>MAX(M$18:M$21)</x:f>
        <x:v>0.9</x:v>
      </x:c>
      <x:c r="L25" t="n">
        <x:f>MAX(M$18:M$21)</x:f>
        <x:v>0.9</x:v>
      </x:c>
      <x:c r="M25" t="n">
        <x:f>MAX(M$18:M$21)</x:f>
        <x:v>0.9</x:v>
      </x:c>
      <x:c r="N25" t="n">
        <x:f>MAX(P$18:P$21)</x:f>
        <x:v>1</x:v>
      </x:c>
      <x:c r="O25" t="n">
        <x:f>MAX(P$18:P$21)</x:f>
        <x:v>1</x:v>
      </x:c>
      <x:c r="P25" t="n">
        <x:f>MAX(P$18:P$21)</x:f>
        <x:v>1</x:v>
      </x:c>
      <x:c r="Q25" t="n">
        <x:f>MAX(S$18:S$21)</x:f>
        <x:v>0.8</x:v>
      </x:c>
      <x:c r="R25" t="n">
        <x:f>MAX(S$18:S$21)</x:f>
        <x:v>0.8</x:v>
      </x:c>
      <x:c r="S25" t="n">
        <x:f>MAX(S$18:S$21)</x:f>
        <x:v>0.8</x:v>
      </x:c>
      <x:c r="T25" t="n">
        <x:f>MAX(V$18:V$21)</x:f>
        <x:v>0.8</x:v>
      </x:c>
      <x:c r="U25" t="n">
        <x:f>MAX(V$18:V$21)</x:f>
        <x:v>0.8</x:v>
      </x:c>
      <x:c r="V25" t="n">
        <x:f>MAX(V$18:V$21)</x:f>
        <x:v>0.8</x:v>
      </x:c>
    </x:row>
    <x:row r="26">
      <x:c r="A26" t="str">
        <x:v>A-</x:v>
      </x:c>
      <x:c r="B26" t="n">
        <x:f>MIN(B$18:B$21)</x:f>
        <x:v>0.63</x:v>
      </x:c>
      <x:c r="C26" t="n">
        <x:f>MIN(B$18:B$21)</x:f>
        <x:v>0.63</x:v>
      </x:c>
      <x:c r="D26" t="n">
        <x:f>MIN(B$18:B$21)</x:f>
        <x:v>0.63</x:v>
      </x:c>
      <x:c r="E26" t="n">
        <x:f>MIN(E$18:E$21)</x:f>
        <x:v>0.5333333333333333</x:v>
      </x:c>
      <x:c r="F26" t="n">
        <x:f>MIN(E$18:E$21)</x:f>
        <x:v>0.5333333333333333</x:v>
      </x:c>
      <x:c r="G26" t="n">
        <x:f>MIN(E$18:E$21)</x:f>
        <x:v>0.5333333333333333</x:v>
      </x:c>
      <x:c r="H26" t="n">
        <x:f>MIN(H$18:H$21)</x:f>
        <x:v>0.42</x:v>
      </x:c>
      <x:c r="I26" t="n">
        <x:f>MIN(H$18:H$21)</x:f>
        <x:v>0.42</x:v>
      </x:c>
      <x:c r="J26" t="n">
        <x:f>MIN(H$18:H$21)</x:f>
        <x:v>0.42</x:v>
      </x:c>
      <x:c r="K26" t="n">
        <x:f>MIN(K$18:K$21)</x:f>
        <x:v>0.5599999999999999</x:v>
      </x:c>
      <x:c r="L26" t="n">
        <x:f>MIN(K$18:K$21)</x:f>
        <x:v>0.5599999999999999</x:v>
      </x:c>
      <x:c r="M26" t="n">
        <x:f>MIN(K$18:K$21)</x:f>
        <x:v>0.5599999999999999</x:v>
      </x:c>
      <x:c r="N26" t="n">
        <x:f>MIN(N$18:N$21)</x:f>
        <x:v>0.39999999999999997</x:v>
      </x:c>
      <x:c r="O26" t="n">
        <x:f>MIN(N$18:N$21)</x:f>
        <x:v>0.39999999999999997</x:v>
      </x:c>
      <x:c r="P26" t="n">
        <x:f>MIN(N$18:N$21)</x:f>
        <x:v>0.39999999999999997</x:v>
      </x:c>
      <x:c r="Q26" t="n">
        <x:f>MIN(Q$18:Q$21)</x:f>
        <x:v>0.26249999999999996</x:v>
      </x:c>
      <x:c r="R26" t="n">
        <x:f>MIN(Q$18:Q$21)</x:f>
        <x:v>0.26249999999999996</x:v>
      </x:c>
      <x:c r="S26" t="n">
        <x:f>MIN(Q$18:Q$21)</x:f>
        <x:v>0.26249999999999996</x:v>
      </x:c>
      <x:c r="T26" t="n">
        <x:f>MIN(T$18:T$21)</x:f>
        <x:v>0.31111111111111106</x:v>
      </x:c>
      <x:c r="U26" t="n">
        <x:f>MIN(T$18:T$21)</x:f>
        <x:v>0.31111111111111106</x:v>
      </x:c>
      <x:c r="V26" t="n">
        <x:f>MIN(T$18:T$21)</x:f>
        <x:v>0.31111111111111106</x:v>
      </x:c>
    </x:row>
    <x:row r="29">
      <x:c r="A29" t="str">
        <x:v>Альтернатива</x:v>
      </x:c>
      <x:c r="B29" t="str">
        <x:v>D+</x:v>
      </x:c>
      <x:c r="C29" t="str">
        <x:v>D-</x:v>
      </x:c>
      <x:c r="D29" t="str">
        <x:v>CC</x:v>
      </x:c>
      <x:c r="E29" t="str">
        <x:v>Ранг</x:v>
      </x:c>
    </x:row>
    <x:row r="30">
      <x:c r="A30" t="str">
        <x:v>A1</x:v>
      </x:c>
      <x:c r="B30" t="n">
        <x:f>SQRT(((B18-B$25)^2+(C18-C$25)^2+(D18-D$25)^2)/3)+SQRT(((E18-E$25)^2+(F18-F$25)^2+(G18-G$25)^2)/3)+SQRT(((H18-H$25)^2+(I18-I$25)^2+(J18-J$25)^2)/3)+SQRT(((K18-K$25)^2+(L18-L$25)^2+(M18-M$25)^2)/3)+SQRT(((N18-N$25)^2+(O18-O$25)^2+(P18-P$25)^2)/3)+SQRT(((Q18-Q$25)^2+(R18-R$25)^2+(S18-S$25)^2)/3)+SQRT(((T18-T$25)^2+(U18-U$25)^2+(V18-V$25)^2)/3)</x:f>
        <x:v>1.4836832530380566</x:v>
      </x:c>
      <x:c r="C30" t="n">
        <x:f>SQRT(((B18-B$26)^2+(C18-C$26)^2+(D18-D$26)^2)/3)+SQRT(((E18-E$26)^2+(F18-F$26)^2+(G18-G$26)^2)/3)+SQRT(((H18-H$26)^2+(I18-I$26)^2+(J18-J$26)^2)/3)+SQRT(((K18-K$26)^2+(L18-L$26)^2+(M18-M$26)^2)/3)+SQRT(((N18-N$26)^2+(O18-O$26)^2+(P18-P$26)^2)/3)+SQRT(((Q18-Q$26)^2+(R18-R$26)^2+(S18-S$26)^2)/3)+SQRT(((T18-T$26)^2+(U18-U$26)^2+(V18-V$26)^2)/3)</x:f>
        <x:v>1.8118200911917925</x:v>
      </x:c>
      <x:c r="D30" t="n">
        <x:f>C30/(B30+C30)</x:f>
        <x:v>0.5497855416727578</x:v>
      </x:c>
      <x:c r="E30" t="n">
        <x:f>_xlfn.RANK.EQ(D30,$D$30:$D$33,0)</x:f>
        <x:v>1</x:v>
      </x:c>
    </x:row>
    <x:row r="31">
      <x:c r="A31" t="str">
        <x:v>A2</x:v>
      </x:c>
      <x:c r="B31" t="n">
        <x:f>SQRT(((B19-B$25)^2+(C19-C$25)^2+(D19-D$25)^2)/3)+SQRT(((E19-E$25)^2+(F19-F$25)^2+(G19-G$25)^2)/3)+SQRT(((H19-H$25)^2+(I19-I$25)^2+(J19-J$25)^2)/3)+SQRT(((K19-K$25)^2+(L19-L$25)^2+(M19-M$25)^2)/3)+SQRT(((N19-N$25)^2+(O19-O$25)^2+(P19-P$25)^2)/3)+SQRT(((Q19-Q$25)^2+(R19-R$25)^2+(S19-S$25)^2)/3)+SQRT(((T19-T$25)^2+(U19-U$25)^2+(V19-V$25)^2)/3)</x:f>
        <x:v>2.0435976166035523</x:v>
      </x:c>
      <x:c r="C31" t="n">
        <x:f>SQRT(((B19-B$26)^2+(C19-C$26)^2+(D19-D$26)^2)/3)+SQRT(((E19-E$26)^2+(F19-F$26)^2+(G19-G$26)^2)/3)+SQRT(((H19-H$26)^2+(I19-I$26)^2+(J19-J$26)^2)/3)+SQRT(((K19-K$26)^2+(L19-L$26)^2+(M19-M$26)^2)/3)+SQRT(((N19-N$26)^2+(O19-O$26)^2+(P19-P$26)^2)/3)+SQRT(((Q19-Q$26)^2+(R19-R$26)^2+(S19-S$26)^2)/3)+SQRT(((T19-T$26)^2+(U19-U$26)^2+(V19-V$26)^2)/3)</x:f>
        <x:v>1.206419418090811</x:v>
      </x:c>
      <x:c r="D31" t="n">
        <x:f>C31/(B31+C31)</x:f>
        <x:v>0.3712040291518855</x:v>
      </x:c>
      <x:c r="E31" t="n">
        <x:f>_xlfn.RANK.EQ(D31,$D$30:$D$33,0)</x:f>
        <x:v>4</x:v>
      </x:c>
    </x:row>
    <x:row r="32">
      <x:c r="A32" t="str">
        <x:v>A3</x:v>
      </x:c>
      <x:c r="B32" t="n">
        <x:f>SQRT(((B20-B$25)^2+(C20-C$25)^2+(D20-D$25)^2)/3)+SQRT(((E20-E$25)^2+(F20-F$25)^2+(G20-G$25)^2)/3)+SQRT(((H20-H$25)^2+(I20-I$25)^2+(J20-J$25)^2)/3)+SQRT(((K20-K$25)^2+(L20-L$25)^2+(M20-M$25)^2)/3)+SQRT(((N20-N$25)^2+(O20-O$25)^2+(P20-P$25)^2)/3)+SQRT(((Q20-Q$25)^2+(R20-R$25)^2+(S20-S$25)^2)/3)+SQRT(((T20-T$25)^2+(U20-U$25)^2+(V20-V$25)^2)/3)</x:f>
        <x:v>1.8326443637261045</x:v>
      </x:c>
      <x:c r="C32" t="n">
        <x:f>SQRT(((B20-B$26)^2+(C20-C$26)^2+(D20-D$26)^2)/3)+SQRT(((E20-E$26)^2+(F20-F$26)^2+(G20-G$26)^2)/3)+SQRT(((H20-H$26)^2+(I20-I$26)^2+(J20-J$26)^2)/3)+SQRT(((K20-K$26)^2+(L20-L$26)^2+(M20-M$26)^2)/3)+SQRT(((N20-N$26)^2+(O20-O$26)^2+(P20-P$26)^2)/3)+SQRT(((Q20-Q$26)^2+(R20-R$26)^2+(S20-S$26)^2)/3)+SQRT(((T20-T$26)^2+(U20-U$26)^2+(V20-V$26)^2)/3)</x:f>
        <x:v>1.3848720346929182</x:v>
      </x:c>
      <x:c r="D32" t="n">
        <x:f>C32/(B32+C32)</x:f>
        <x:v>0.4304164651261441</x:v>
      </x:c>
      <x:c r="E32" t="n">
        <x:f>_xlfn.RANK.EQ(D32,$D$30:$D$33,0)</x:f>
        <x:v>3</x:v>
      </x:c>
    </x:row>
    <x:row r="33">
      <x:c r="A33" t="str">
        <x:v>A4</x:v>
      </x:c>
      <x:c r="B33" t="n">
        <x:f>SQRT(((B21-B$25)^2+(C21-C$25)^2+(D21-D$25)^2)/3)+SQRT(((E21-E$25)^2+(F21-F$25)^2+(G21-G$25)^2)/3)+SQRT(((H21-H$25)^2+(I21-I$25)^2+(J21-J$25)^2)/3)+SQRT(((K21-K$25)^2+(L21-L$25)^2+(M21-M$25)^2)/3)+SQRT(((N21-N$25)^2+(O21-O$25)^2+(P21-P$25)^2)/3)+SQRT(((Q21-Q$25)^2+(R21-R$25)^2+(S21-S$25)^2)/3)+SQRT(((T21-T$25)^2+(U21-U$25)^2+(V21-V$25)^2)/3)</x:f>
        <x:v>1.6719524760235482</x:v>
      </x:c>
      <x:c r="C33" t="n">
        <x:f>SQRT(((B21-B$26)^2+(C21-C$26)^2+(D21-D$26)^2)/3)+SQRT(((E21-E$26)^2+(F21-F$26)^2+(G21-G$26)^2)/3)+SQRT(((H21-H$26)^2+(I21-I$26)^2+(J21-J$26)^2)/3)+SQRT(((K21-K$26)^2+(L21-L$26)^2+(M21-M$26)^2)/3)+SQRT(((N21-N$26)^2+(O21-O$26)^2+(P21-P$26)^2)/3)+SQRT(((Q21-Q$26)^2+(R21-R$26)^2+(S21-S$26)^2)/3)+SQRT(((T21-T$26)^2+(U21-U$26)^2+(V21-V$26)^2)/3)</x:f>
        <x:v>1.7190148852945852</x:v>
      </x:c>
      <x:c r="D33" t="n">
        <x:f>C33/(B33+C33)</x:f>
        <x:v>0.5069393780972199</x:v>
      </x:c>
      <x:c r="E33" t="n">
        <x:f>_xlfn.RANK.EQ(D33,$D$30:$D$33,0)</x:f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Параметр</x:v>
      </x:c>
      <x:c r="B1" s="2" t="str">
        <x:v>Значение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t="str">
        <x:v>Метод</x:v>
      </x:c>
      <x:c r="B2" t="str">
        <x:v>Нечёткий коллективный TOPSIS</x:v>
      </x:c>
    </x:row>
    <x:row r="3">
      <x:c r="A3" t="str">
        <x:v>Шкала</x:v>
      </x:c>
      <x:c r="B3" t="str">
        <x:v>0–10</x:v>
      </x:c>
    </x:row>
    <x:row r="4">
      <x:c r="A4" t="str">
        <x:v>Экспертов</x:v>
      </x:c>
      <x:c r="B4" t="str">
        <x:v>3</x:v>
      </x:c>
    </x:row>
    <x:row r="5">
      <x:c r="A5" t="str">
        <x:v>Альтернатив</x:v>
      </x:c>
      <x:c r="B5" t="str">
        <x:v>4</x:v>
      </x:c>
    </x:row>
    <x:row r="6">
      <x:c r="A6" t="str">
        <x:v>Критериев</x:v>
      </x:c>
      <x:c r="B6" t="str">
        <x:v>7</x:v>
      </x:c>
    </x:row>
    <x:row r="7">
      <x:c r="A7" t="str">
        <x:v>Benefit</x:v>
      </x:c>
      <x:c r="B7" t="str">
        <x:v>K1–K4</x:v>
      </x:c>
    </x:row>
    <x:row r="8">
      <x:c r="A8" t="str">
        <x:v>Cost</x:v>
      </x:c>
      <x:c r="B8" t="str">
        <x:v>K5–K7</x:v>
      </x:c>
    </x:row>
    <x:row r="9">
      <x:c r="A9" t="str">
        <x:v>Формирование тройки</x:v>
      </x:c>
      <x:c r="B9" t="str">
        <x:v>(MIN, MEDIAN, MAX)</x:v>
      </x:c>
    </x:row>
  </x:sheetData>
  <x:pageMargins left="0.7" right="0.7" top="0.75" bottom="0.75" header="0.3" footer="0.3"/>
</x:worksheet>
</file>