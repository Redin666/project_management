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етодика" sheetId="1" r:id="rId1"/>
    <sheet name="Редин" sheetId="2" r:id="rId2"/>
    <sheet name="Шатков" sheetId="3" r:id="rId3"/>
    <sheet name="Полищук" sheetId="4" r:id="rId4"/>
    <sheet name="Коллективный" sheetId="5" r:id="rId5"/>
    <sheet name="Итог" sheetId="6" r:id="rId6"/>
  </sheet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sz val="11"/>
      <name val="Calibri"/>
    </font>
    <font>
      <b/>
      <sz val="14"/>
      <color rgb="FFFFFFFF"/>
      <name val="Calibri"/>
    </font>
    <font>
      <b/>
      <sz val="11"/>
      <color rgb="FF223C58"/>
      <name val="Calibri"/>
    </font>
    <font>
      <b/>
      <sz val="11"/>
      <color rgb="FF825400"/>
      <name val="Calibri"/>
    </font>
    <font>
      <b/>
      <sz val="11"/>
      <color rgb="FF27354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23C58"/>
      </patternFill>
    </fill>
    <fill>
      <patternFill patternType="solid">
        <fgColor rgb="FFFFE35D"/>
      </patternFill>
    </fill>
    <fill>
      <patternFill patternType="solid">
        <fgColor rgb="FFE5F3FB"/>
      </patternFill>
    </fill>
    <fill>
      <patternFill patternType="solid">
        <fgColor rgb="FFFFF3BC"/>
      </patternFill>
    </fill>
    <fill>
      <patternFill patternType="solid">
        <fgColor rgb="FFFFF1CF"/>
      </patternFill>
    </fill>
    <fill>
      <patternFill patternType="solid">
        <fgColor rgb="FFF3F7FA"/>
      </patternFill>
    </fill>
  </fills>
  <borders count="2">
    <border>
      <left/>
      <right/>
      <top/>
      <bottom/>
      <diagonal/>
    </border>
    <border>
      <left style="thin">
        <color rgb="FFCBD5DF"/>
      </left>
      <right style="thin">
        <color rgb="FFCBD5DF"/>
      </right>
      <top style="thin">
        <color rgb="FFCBD5DF"/>
      </top>
      <bottom style="thin">
        <color rgb="FFCBD5DF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ill="1" applyFont="1"/>
    <xf numFmtId="0" fontId="4" fillId="3" borderId="0" applyFill="1" applyFont="1"/>
    <xf numFmtId="0" fontId="2" fillId="4" borderId="1" applyFill="1" applyFont="1"/>
    <xf numFmtId="164" fontId="0" fillId="4" borderId="1" applyFill="1" applyNumberFormat="1"/>
    <xf numFmtId="164" fontId="0" fillId="5" borderId="1" applyFill="1" applyNumberFormat="1"/>
    <xf numFmtId="0" fontId="3" fillId="6" borderId="0" applyFill="1" applyFont="1"/>
    <xf numFmtId="0" fontId="2" fillId="7" borderId="1" applyFill="1" applyFont="1"/>
    <xf numFmtId="164" fontId="0" fillId="0" borderId="1" applyNumberFormat="1"/>
    <xf numFmtId="0" fontId="2" fillId="4" borderId="1" applyFill="1" applyFont="1"/>
    <xf numFmtId="0" fontId="2" fillId="4" borderId="1" applyFill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35"/>
  <sheetViews>
    <sheetView workbookViewId="0">
      <pane ySplit="4" topLeftCell="A5" activePane="bottomLeft" state="frozen"/>
    </sheetView>
  </sheetViews>
  <sheetFormatPr defaultRowHeight="19"/>
  <cols>
    <col min="1" max="1" width="28" customWidth="1"/>
    <col min="2" max="8" width="15" customWidth="1"/>
    <col min="9" max="12" width="19" customWidth="1"/>
  </cols>
  <sheetData>
    <row r="1" ht="27" customHeight="1">
      <c r="A1" s="1" t="inlineStr">
        <is>
          <t xml:space="preserve">Фаза 1 — Чёткий коллективный метод анализа иерархий (МАИ)</t>
        </is>
      </c>
    </row>
    <row r="3" ht="27" customHeight="1">
      <c r="A3" s="6" t="inlineStr">
        <is>
          <t xml:space="preserve">СТАТУС: расчётный черновик; эксперты ещё не подтвердили прямые попарные сравнения.</t>
        </is>
      </c>
    </row>
    <row r="5" ht="27" customHeight="1">
      <c r="A5" s="2" t="inlineStr">
        <is>
          <t xml:space="preserve">Цель, критерии и исходные данные</t>
        </is>
      </c>
    </row>
    <row r="7">
      <c r="A7" s="7" t="inlineStr">
        <is>
          <t xml:space="preserve">Концепции</t>
        </is>
      </c>
      <c r="B7" s="0" t="inlineStr">
        <is>
          <t xml:space="preserve">A1 — Pentest; A2 — DevSecOps; A3 — SOC; A4 — Security Audit</t>
        </is>
      </c>
    </row>
    <row r="8">
      <c r="A8" s="7" t="inlineStr">
        <is>
          <t xml:space="preserve">Критерии</t>
        </is>
      </c>
      <c r="B8" s="0" t="inlineStr">
        <is>
          <t xml:space="preserve">K1–K4 Benefit (max); K5–K7 Cost (min).</t>
        </is>
      </c>
    </row>
    <row r="9">
      <c r="A9" s="7" t="inlineStr">
        <is>
          <t xml:space="preserve">Эксперты</t>
        </is>
      </c>
      <c r="B9" s="0" t="inlineStr">
        <is>
          <t xml:space="preserve">Никита Редин, Павел Шатков, Владислав Полищук.</t>
        </is>
      </c>
    </row>
    <row r="10">
      <c r="A10" s="7" t="inlineStr">
        <is>
          <t xml:space="preserve">Исходные баллы</t>
        </is>
      </c>
      <c r="B10" s="0" t="inlineStr">
        <is>
          <t xml:space="preserve">Черновик из expert-assessment/expert-ratings.csv (0–10).</t>
        </is>
      </c>
    </row>
    <row r="11">
      <c r="A11" s="7" t="inlineStr">
        <is>
          <t xml:space="preserve">Источник</t>
        </is>
      </c>
      <c r="B11" s="0" t="inlineStr">
        <is>
          <t xml:space="preserve">https://github.com/Redin666/project_management/blob/main/phases/phase-01-concept-selection/expert-assessment/expert-ratings.csv</t>
        </is>
      </c>
    </row>
    <row r="12">
      <c r="A12" s="7" t="inlineStr">
        <is>
          <t xml:space="preserve">Ограничение</t>
        </is>
      </c>
      <c r="B12" s="0" t="inlineStr">
        <is>
          <t xml:space="preserve">Матрицы получены из баллов эвристически, не являются независимо полученными суждениями.</t>
        </is>
      </c>
    </row>
    <row r="15" ht="27" customHeight="1">
      <c r="A15" s="2" t="inlineStr">
        <is>
          <t xml:space="preserve">Этапы расчёта</t>
        </is>
      </c>
    </row>
    <row r="17">
      <c r="A17" s="0" t="inlineStr">
        <is>
          <t xml:space="preserve">1. При равных исходных баллах a(i,j)=1; иначе сила предпочтения min(9, 1+|xi−xj|).</t>
        </is>
      </c>
    </row>
    <row r="18">
      <c r="A18" s="0" t="inlineStr">
        <is>
          <t xml:space="preserve">2. Для benefit выше лучше, для cost ниже лучше; обратное суждение равно 1/a(i,j).</t>
        </is>
      </c>
    </row>
    <row r="19">
      <c r="A19" s="0" t="inlineStr">
        <is>
          <t xml:space="preserve">3. Эксперт корректирует прямые попарные суждения в жёлтых ячейках индивидуальных листов.</t>
        </is>
      </c>
    </row>
    <row r="20">
      <c r="A20" s="0" t="inlineStr">
        <is>
          <t xml:space="preserve">4. Каждая матрица положительная и обратно-симметричная, диагональ равна единице.</t>
        </is>
      </c>
    </row>
    <row r="21">
      <c r="A21" s="0" t="inlineStr">
        <is>
          <t xml:space="preserve">5. Коллективная матрица равна поэлементному геометрическому среднему трёх матриц экспертов.</t>
        </is>
      </c>
    </row>
    <row r="22">
      <c r="A22" s="0" t="inlineStr">
        <is>
          <t xml:space="preserve">6. Приоритет строки = геометрическое среднее / сумма всех геометрических средних.</t>
        </is>
      </c>
    </row>
    <row r="23">
      <c r="A23" s="0" t="inlineStr">
        <is>
          <t xml:space="preserve">7. λmax ≈ среднее (A·w)i / wi; CI = max(0;(λmax−n)/(n−1)); CR = CI/RI.</t>
        </is>
      </c>
    </row>
    <row r="24">
      <c r="A24" s="0" t="inlineStr">
        <is>
          <t xml:space="preserve">8. RI для матрицы 4×4 = 0,90 и 7×7 = 1,32. Допустимый CR ≤ 0,10.</t>
        </is>
      </c>
    </row>
    <row r="25">
      <c r="A25" s="0" t="inlineStr">
        <is>
          <t xml:space="preserve">9. Общий приоритет = сумма произведений весов критериев на локальные приоритеты альтернатив.</t>
        </is>
      </c>
    </row>
    <row r="26">
      <c r="A26" s="0" t="inlineStr">
        <is>
          <t xml:space="preserve">10. МАИ применяется к тем же 4 альтернативам и 7 критериям, что и TOPSIS.</t>
        </is>
      </c>
    </row>
    <row r="27">
      <c r="A27" s="0" t="inlineStr">
        <is>
          <t xml:space="preserve">11. Итог предварительный, до сбора отдельных попарных экспертных суждений.</t>
        </is>
      </c>
    </row>
    <row r="30" ht="27" customHeight="1">
      <c r="A30" s="2" t="inlineStr">
        <is>
          <t xml:space="preserve">Порядок работы</t>
        </is>
      </c>
    </row>
    <row r="32">
      <c r="A32" s="0" t="inlineStr">
        <is>
          <t xml:space="preserve">1. Проверьте жёлтые ячейки на листах Редин, Шатков и Полищук.</t>
        </is>
      </c>
    </row>
    <row r="33">
      <c r="A33" s="0" t="inlineStr">
        <is>
          <t xml:space="preserve">2. Добейтесь CR не более 0,10 для каждой индивидуальной и коллективной матрицы.</t>
        </is>
      </c>
    </row>
    <row r="34">
      <c r="A34" s="0" t="inlineStr">
        <is>
          <t xml:space="preserve">3. На листе «Итог» проверьте суммарные приоритеты и рейтинг.</t>
        </is>
      </c>
    </row>
    <row r="35">
      <c r="A35" s="0" t="inlineStr">
        <is>
          <t xml:space="preserve">4. Зафиксируйте экспертное подтверждение матриц перед итоговым выбором концепции.</t>
        </is>
      </c>
    </row>
  </sheetData>
  <mergeCells count="26">
    <mergeCell ref="A1:L1"/>
    <mergeCell ref="A3:L3"/>
    <mergeCell ref="A5:L5"/>
    <mergeCell ref="B7:L7"/>
    <mergeCell ref="B8:L8"/>
    <mergeCell ref="B9:L9"/>
    <mergeCell ref="B10:L10"/>
    <mergeCell ref="B11:L11"/>
    <mergeCell ref="B12:L12"/>
    <mergeCell ref="A15:L15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30:L30"/>
    <mergeCell ref="A32:L32"/>
    <mergeCell ref="A33:L33"/>
    <mergeCell ref="A34:L34"/>
    <mergeCell ref="A35:L35"/>
  </mergeCells>
</worksheet>
</file>

<file path=xl/worksheets/sheet2.xml><?xml version="1.0" encoding="utf-8"?>
<worksheet xmlns="http://schemas.openxmlformats.org/spreadsheetml/2006/main">
  <dimension ref="A1:L134"/>
  <sheetViews>
    <sheetView workbookViewId="0">
      <pane ySplit="4" topLeftCell="A5" activePane="bottomLeft" state="frozen"/>
    </sheetView>
  </sheetViews>
  <sheetFormatPr defaultRowHeight="19"/>
  <cols>
    <col min="1" max="1" width="37" customWidth="1"/>
    <col min="2" max="8" width="16" customWidth="1"/>
    <col min="9" max="12" width="19" customWidth="1"/>
  </cols>
  <sheetData>
    <row r="1" ht="27" customHeight="1">
      <c r="A1" s="1" t="inlineStr">
        <is>
          <t xml:space="preserve">Чёткий МАИ — эксперт Редин</t>
        </is>
      </c>
    </row>
    <row r="2" ht="27" customHeight="1">
      <c r="A2" s="6" t="inlineStr">
        <is>
          <t xml:space="preserve">ЧЕРНОВИК: сравнения преобразованы из оценок 0–10; подтвердите или измените жёлтые значения.</t>
        </is>
      </c>
    </row>
    <row r="3" ht="27" customHeight="1">
      <c r="A3" s="3" t="inlineStr">
        <is>
          <t xml:space="preserve">Верхний треугольник — ввод; нижний — обратные формулы. Приоритеты и CR вычисляются автоматически.</t>
        </is>
      </c>
    </row>
    <row r="7" ht="27" customHeight="1">
      <c r="A7" s="2" t="inlineStr">
        <is>
          <t xml:space="preserve">Этап 1. Веса критериев — матрица 7×7</t>
        </is>
      </c>
    </row>
    <row r="8">
      <c r="A8" s="3" t="inlineStr">
        <is>
          <t xml:space="preserve">Элемент</t>
        </is>
      </c>
      <c r="B8" s="3" t="inlineStr">
        <is>
          <t xml:space="preserve">K1</t>
        </is>
      </c>
      <c r="C8" s="3" t="inlineStr">
        <is>
          <t xml:space="preserve">K2</t>
        </is>
      </c>
      <c r="D8" s="3" t="inlineStr">
        <is>
          <t xml:space="preserve">K3</t>
        </is>
      </c>
      <c r="E8" s="3" t="inlineStr">
        <is>
          <t xml:space="preserve">K4</t>
        </is>
      </c>
      <c r="F8" s="3" t="inlineStr">
        <is>
          <t xml:space="preserve">K5</t>
        </is>
      </c>
      <c r="G8" s="3" t="inlineStr">
        <is>
          <t xml:space="preserve">K6</t>
        </is>
      </c>
      <c r="H8" s="3" t="inlineStr">
        <is>
          <t xml:space="preserve">K7</t>
        </is>
      </c>
      <c r="I8" s="3" t="inlineStr">
        <is>
          <t xml:space="preserve">Средн. геом.</t>
        </is>
      </c>
      <c r="J8" s="3" t="inlineStr">
        <is>
          <t xml:space="preserve">Приоритет</t>
        </is>
      </c>
      <c r="K8" s="3" t="inlineStr">
        <is>
          <t xml:space="preserve">λᵢ</t>
        </is>
      </c>
    </row>
    <row r="9">
      <c r="A9" s="7" t="inlineStr">
        <is>
          <t xml:space="preserve">K1</t>
        </is>
      </c>
      <c r="B9" s="8">
        <v>1</v>
      </c>
      <c r="C9" s="5">
        <v>3</v>
      </c>
      <c r="D9" s="5">
        <v>3</v>
      </c>
      <c r="E9" s="5">
        <v>2</v>
      </c>
      <c r="F9" s="5">
        <v>2</v>
      </c>
      <c r="G9" s="5">
        <v>4</v>
      </c>
      <c r="H9" s="5">
        <v>4</v>
      </c>
      <c r="I9" s="4">
        <f>PRODUCT(B9:H9)^(1/7)</f>
        <v>2.4793969867312335</v>
      </c>
      <c r="J9" s="4">
        <f>I9/SUM($I$9:$I$15)</f>
        <v>0.30256351073528504</v>
      </c>
      <c r="K9" s="8">
        <f>(B9*$J$9+C9*$J$10+D9*$J$11+E9*$J$12+F9*$J$13+G9*$J$14+H9*$J$15)/J9</f>
        <v>7.092854240960554</v>
      </c>
    </row>
    <row r="10">
      <c r="A10" s="7" t="inlineStr">
        <is>
          <t xml:space="preserve">K2</t>
        </is>
      </c>
      <c r="B10" s="8">
        <f>1/C9</f>
        <v>0.3333333333333333</v>
      </c>
      <c r="C10" s="8">
        <v>1</v>
      </c>
      <c r="D10" s="5">
        <v>1</v>
      </c>
      <c r="E10" s="5">
        <v>0.5</v>
      </c>
      <c r="F10" s="5">
        <v>0.5</v>
      </c>
      <c r="G10" s="5">
        <v>2</v>
      </c>
      <c r="H10" s="5">
        <v>2</v>
      </c>
      <c r="I10" s="4">
        <f>PRODUCT(B10:H10)^(1/7)</f>
        <v>0.8547513999071522</v>
      </c>
      <c r="J10" s="4">
        <f>I10/SUM($I$9:$I$15)</f>
        <v>0.10430624290737736</v>
      </c>
      <c r="K10" s="8">
        <f>(B10*$J$9+C10*$J$10+D10*$J$11+E10*$J$12+F10*$J$13+G10*$J$14+H10*$J$15)/J10</f>
        <v>7.035738222008821</v>
      </c>
    </row>
    <row r="11">
      <c r="A11" s="7" t="inlineStr">
        <is>
          <t xml:space="preserve">K3</t>
        </is>
      </c>
      <c r="B11" s="8">
        <f>1/D9</f>
        <v>0.3333333333333333</v>
      </c>
      <c r="C11" s="8">
        <f>1/D10</f>
        <v>1</v>
      </c>
      <c r="D11" s="8">
        <v>1</v>
      </c>
      <c r="E11" s="5">
        <v>0.5</v>
      </c>
      <c r="F11" s="5">
        <v>0.5</v>
      </c>
      <c r="G11" s="5">
        <v>2</v>
      </c>
      <c r="H11" s="5">
        <v>2</v>
      </c>
      <c r="I11" s="4">
        <f>PRODUCT(B11:H11)^(1/7)</f>
        <v>0.8547513999071522</v>
      </c>
      <c r="J11" s="4">
        <f>I11/SUM($I$9:$I$15)</f>
        <v>0.10430624290737736</v>
      </c>
      <c r="K11" s="8">
        <f>(B11*$J$9+C11*$J$10+D11*$J$11+E11*$J$12+F11*$J$13+G11*$J$14+H11*$J$15)/J11</f>
        <v>7.035738222008821</v>
      </c>
    </row>
    <row r="12">
      <c r="A12" s="7" t="inlineStr">
        <is>
          <t xml:space="preserve">K4</t>
        </is>
      </c>
      <c r="B12" s="8">
        <f>1/E9</f>
        <v>0.5</v>
      </c>
      <c r="C12" s="8">
        <f>1/E10</f>
        <v>2</v>
      </c>
      <c r="D12" s="8">
        <f>1/E11</f>
        <v>2</v>
      </c>
      <c r="E12" s="8">
        <v>1</v>
      </c>
      <c r="F12" s="5">
        <v>1</v>
      </c>
      <c r="G12" s="5">
        <v>3</v>
      </c>
      <c r="H12" s="5">
        <v>3</v>
      </c>
      <c r="I12" s="4">
        <f>PRODUCT(B12:H12)^(1/7)</f>
        <v>1.511209390509403</v>
      </c>
      <c r="J12" s="4">
        <f>I12/SUM($I$9:$I$15)</f>
        <v>0.1844145254251774</v>
      </c>
      <c r="K12" s="8">
        <f>(B12*$J$9+C12*$J$10+D12*$J$11+E12*$J$12+F12*$J$13+G12*$J$14+H12*$J$15)/J12</f>
        <v>7.034807223863099</v>
      </c>
    </row>
    <row r="13">
      <c r="A13" s="7" t="inlineStr">
        <is>
          <t xml:space="preserve">K5</t>
        </is>
      </c>
      <c r="B13" s="8">
        <f>1/F9</f>
        <v>0.5</v>
      </c>
      <c r="C13" s="8">
        <f>1/F10</f>
        <v>2</v>
      </c>
      <c r="D13" s="8">
        <f>1/F11</f>
        <v>2</v>
      </c>
      <c r="E13" s="8">
        <f>1/F12</f>
        <v>1</v>
      </c>
      <c r="F13" s="8">
        <v>1</v>
      </c>
      <c r="G13" s="5">
        <v>3</v>
      </c>
      <c r="H13" s="5">
        <v>3</v>
      </c>
      <c r="I13" s="4">
        <f>PRODUCT(B13:H13)^(1/7)</f>
        <v>1.511209390509403</v>
      </c>
      <c r="J13" s="4">
        <f>I13/SUM($I$9:$I$15)</f>
        <v>0.1844145254251774</v>
      </c>
      <c r="K13" s="8">
        <f>(B13*$J$9+C13*$J$10+D13*$J$11+E13*$J$12+F13*$J$13+G13*$J$14+H13*$J$15)/J13</f>
        <v>7.034807223863099</v>
      </c>
    </row>
    <row r="14">
      <c r="A14" s="7" t="inlineStr">
        <is>
          <t xml:space="preserve">K6</t>
        </is>
      </c>
      <c r="B14" s="8">
        <f>1/G9</f>
        <v>0.25</v>
      </c>
      <c r="C14" s="8">
        <f>1/G10</f>
        <v>0.5</v>
      </c>
      <c r="D14" s="8">
        <f>1/G11</f>
        <v>0.5</v>
      </c>
      <c r="E14" s="8">
        <f>1/G12</f>
        <v>0.3333333333333333</v>
      </c>
      <c r="F14" s="8">
        <f>1/G13</f>
        <v>0.3333333333333333</v>
      </c>
      <c r="G14" s="8">
        <v>1</v>
      </c>
      <c r="H14" s="5">
        <v>1</v>
      </c>
      <c r="I14" s="4">
        <f>PRODUCT(B14:H14)^(1/7)</f>
        <v>0.49165731051871137</v>
      </c>
      <c r="J14" s="4">
        <f>I14/SUM($I$9:$I$15)</f>
        <v>0.05999747629980273</v>
      </c>
      <c r="K14" s="8">
        <f>(B14*$J$9+C14*$J$10+D14*$J$11+E14*$J$12+F14*$J$13+G14*$J$14+H14*$J$15)/J14</f>
        <v>7.048381302370092</v>
      </c>
    </row>
    <row r="15">
      <c r="A15" s="7" t="inlineStr">
        <is>
          <t xml:space="preserve">K7</t>
        </is>
      </c>
      <c r="B15" s="8">
        <f>1/H9</f>
        <v>0.25</v>
      </c>
      <c r="C15" s="8">
        <f>1/H10</f>
        <v>0.5</v>
      </c>
      <c r="D15" s="8">
        <f>1/H11</f>
        <v>0.5</v>
      </c>
      <c r="E15" s="8">
        <f>1/H12</f>
        <v>0.3333333333333333</v>
      </c>
      <c r="F15" s="8">
        <f>1/H13</f>
        <v>0.3333333333333333</v>
      </c>
      <c r="G15" s="8">
        <f>1/H14</f>
        <v>1</v>
      </c>
      <c r="H15" s="8">
        <v>1</v>
      </c>
      <c r="I15" s="4">
        <f>PRODUCT(B15:H15)^(1/7)</f>
        <v>0.49165731051871137</v>
      </c>
      <c r="J15" s="4">
        <f>I15/SUM($I$9:$I$15)</f>
        <v>0.05999747629980273</v>
      </c>
      <c r="K15" s="8">
        <f>(B15*$J$9+C15*$J$10+D15*$J$11+E15*$J$12+F15*$J$13+G15*$J$14+H15*$J$15)/J15</f>
        <v>7.048381302370092</v>
      </c>
    </row>
    <row r="17">
      <c r="H17" s="7" t="inlineStr">
        <is>
          <t xml:space="preserve">λmax</t>
        </is>
      </c>
      <c r="I17" s="8">
        <f>AVERAGE(K9:K15)</f>
        <v>7.0472439624920815</v>
      </c>
    </row>
    <row r="18">
      <c r="H18" s="7" t="inlineStr">
        <is>
          <t xml:space="preserve">CI</t>
        </is>
      </c>
      <c r="I18" s="8">
        <f>MAX(0,(I17-7)/(7-1))</f>
        <v>0.007873993748680252</v>
      </c>
    </row>
    <row r="19">
      <c r="H19" s="7" t="inlineStr">
        <is>
          <t xml:space="preserve">RI</t>
        </is>
      </c>
      <c r="I19" s="8">
        <v>1.32</v>
      </c>
    </row>
    <row r="20">
      <c r="H20" s="7" t="inlineStr">
        <is>
          <t xml:space="preserve">CR</t>
        </is>
      </c>
      <c r="I20" s="8">
        <f>I18/I19</f>
        <v>0.005965146779303221</v>
      </c>
      <c r="J20" s="7" t="inlineStr">
        <is>
          <t xml:space="preserve">CR ≤ 0,10</t>
        </is>
      </c>
      <c r="K20" s="10" t="str">
        <f>IF(I20&lt;=0.1,"OK","ПРОВЕРИТЬ")</f>
        <v>OK</v>
      </c>
    </row>
    <row r="28" ht="27" customHeight="1">
      <c r="A28" s="2" t="inlineStr">
        <is>
          <t xml:space="preserve">Этап 2. K1 — Практическая значимость | Benefit</t>
        </is>
      </c>
    </row>
    <row r="29">
      <c r="A29" s="3" t="inlineStr">
        <is>
          <t xml:space="preserve">Элемент</t>
        </is>
      </c>
      <c r="B29" s="3" t="inlineStr">
        <is>
          <t xml:space="preserve">A1</t>
        </is>
      </c>
      <c r="C29" s="3" t="inlineStr">
        <is>
          <t xml:space="preserve">A2</t>
        </is>
      </c>
      <c r="D29" s="3" t="inlineStr">
        <is>
          <t xml:space="preserve">A3</t>
        </is>
      </c>
      <c r="E29" s="3" t="inlineStr">
        <is>
          <t xml:space="preserve">A4</t>
        </is>
      </c>
      <c r="I29" s="3" t="inlineStr">
        <is>
          <t xml:space="preserve">Средн. геом.</t>
        </is>
      </c>
      <c r="J29" s="3" t="inlineStr">
        <is>
          <t xml:space="preserve">Приоритет</t>
        </is>
      </c>
      <c r="K29" s="3" t="inlineStr">
        <is>
          <t xml:space="preserve">λᵢ</t>
        </is>
      </c>
    </row>
    <row r="30">
      <c r="A30" s="7" t="inlineStr">
        <is>
          <t xml:space="preserve">A1</t>
        </is>
      </c>
      <c r="B30" s="8">
        <v>1</v>
      </c>
      <c r="C30" s="5">
        <v>1</v>
      </c>
      <c r="D30" s="5">
        <v>0.5</v>
      </c>
      <c r="E30" s="5">
        <v>3</v>
      </c>
      <c r="I30" s="4">
        <f>PRODUCT(B30:E30)^(1/4)</f>
        <v>1.1066819197003217</v>
      </c>
      <c r="J30" s="4">
        <f>I30/SUM($I$30:$I$33)</f>
        <v>0.23945798318924844</v>
      </c>
      <c r="K30" s="8">
        <f>(B30*$J$30+C30*$J$31+D30*$J$32+E30*$J$33)/J30</f>
        <v>4.010283923310166</v>
      </c>
    </row>
    <row r="31">
      <c r="A31" s="7" t="inlineStr">
        <is>
          <t xml:space="preserve">A2</t>
        </is>
      </c>
      <c r="B31" s="8">
        <f>1/C30</f>
        <v>1</v>
      </c>
      <c r="C31" s="8">
        <v>1</v>
      </c>
      <c r="D31" s="5">
        <v>0.5</v>
      </c>
      <c r="E31" s="5">
        <v>3</v>
      </c>
      <c r="I31" s="4">
        <f>PRODUCT(B31:E31)^(1/4)</f>
        <v>1.1066819197003217</v>
      </c>
      <c r="J31" s="4">
        <f>I31/SUM($I$30:$I$33)</f>
        <v>0.23945798318924844</v>
      </c>
      <c r="K31" s="8">
        <f>(B31*$J$30+C31*$J$31+D31*$J$32+E31*$J$33)/J31</f>
        <v>4.010283923310166</v>
      </c>
    </row>
    <row r="32">
      <c r="A32" s="7" t="inlineStr">
        <is>
          <t xml:space="preserve">A3</t>
        </is>
      </c>
      <c r="B32" s="8">
        <f>1/D30</f>
        <v>2</v>
      </c>
      <c r="C32" s="8">
        <f>1/D31</f>
        <v>2</v>
      </c>
      <c r="D32" s="8">
        <v>1</v>
      </c>
      <c r="E32" s="5">
        <v>4</v>
      </c>
      <c r="I32" s="4">
        <f>PRODUCT(B32:E32)^(1/4)</f>
        <v>2</v>
      </c>
      <c r="J32" s="4">
        <f>I32/SUM($I$30:$I$33)</f>
        <v>0.43274942678035483</v>
      </c>
      <c r="K32" s="8">
        <f>(B32*$J$30+C32*$J$31+D32*$J$32+E32*$J$33)/J32</f>
        <v>4.02986042032837</v>
      </c>
    </row>
    <row r="33">
      <c r="A33" s="7" t="inlineStr">
        <is>
          <t xml:space="preserve">A4</t>
        </is>
      </c>
      <c r="B33" s="8">
        <f>1/E30</f>
        <v>0.3333333333333333</v>
      </c>
      <c r="C33" s="8">
        <f>1/E31</f>
        <v>0.3333333333333333</v>
      </c>
      <c r="D33" s="8">
        <f>1/E32</f>
        <v>0.25</v>
      </c>
      <c r="E33" s="8">
        <v>1</v>
      </c>
      <c r="I33" s="4">
        <f>PRODUCT(B33:E33)^(1/4)</f>
        <v>0.408248290463863</v>
      </c>
      <c r="J33" s="4">
        <f>I33/SUM($I$30:$I$33)</f>
        <v>0.08833460684114826</v>
      </c>
      <c r="K33" s="8">
        <f>(B33*$J$30+C33*$J$31+D33*$J$32+E33*$J$33)/J33</f>
        <v>4.031948878611279</v>
      </c>
    </row>
    <row r="35">
      <c r="H35" s="7" t="inlineStr">
        <is>
          <t xml:space="preserve">λmax</t>
        </is>
      </c>
      <c r="I35" s="8">
        <f>AVERAGE(K30:K33)</f>
        <v>4.020594286389995</v>
      </c>
    </row>
    <row r="36">
      <c r="H36" s="7" t="inlineStr">
        <is>
          <t xml:space="preserve">CI</t>
        </is>
      </c>
      <c r="I36" s="8">
        <f>MAX(0,(I35-4)/(4-1))</f>
        <v>0.006864762129998425</v>
      </c>
    </row>
    <row r="37">
      <c r="H37" s="7" t="inlineStr">
        <is>
          <t xml:space="preserve">RI</t>
        </is>
      </c>
      <c r="I37" s="8">
        <v>0.9</v>
      </c>
    </row>
    <row r="38">
      <c r="H38" s="7" t="inlineStr">
        <is>
          <t xml:space="preserve">CR</t>
        </is>
      </c>
      <c r="I38" s="8">
        <f>I36/I37</f>
        <v>0.007627513477776028</v>
      </c>
      <c r="J38" s="7" t="inlineStr">
        <is>
          <t xml:space="preserve">CR ≤ 0,10</t>
        </is>
      </c>
      <c r="K38" s="10" t="str">
        <f>IF(I38&lt;=0.1,"OK","ПРОВЕРИТЬ")</f>
        <v>OK</v>
      </c>
    </row>
    <row r="43" ht="27" customHeight="1">
      <c r="A43" s="2" t="inlineStr">
        <is>
          <t xml:space="preserve">Этап 3. K2 — Функциональная содержательность | Benefit</t>
        </is>
      </c>
    </row>
    <row r="44">
      <c r="A44" s="3" t="inlineStr">
        <is>
          <t xml:space="preserve">Элемент</t>
        </is>
      </c>
      <c r="B44" s="3" t="inlineStr">
        <is>
          <t xml:space="preserve">A1</t>
        </is>
      </c>
      <c r="C44" s="3" t="inlineStr">
        <is>
          <t xml:space="preserve">A2</t>
        </is>
      </c>
      <c r="D44" s="3" t="inlineStr">
        <is>
          <t xml:space="preserve">A3</t>
        </is>
      </c>
      <c r="E44" s="3" t="inlineStr">
        <is>
          <t xml:space="preserve">A4</t>
        </is>
      </c>
      <c r="I44" s="3" t="inlineStr">
        <is>
          <t xml:space="preserve">Средн. геом.</t>
        </is>
      </c>
      <c r="J44" s="3" t="inlineStr">
        <is>
          <t xml:space="preserve">Приоритет</t>
        </is>
      </c>
      <c r="K44" s="3" t="inlineStr">
        <is>
          <t xml:space="preserve">λᵢ</t>
        </is>
      </c>
    </row>
    <row r="45">
      <c r="A45" s="7" t="inlineStr">
        <is>
          <t xml:space="preserve">A1</t>
        </is>
      </c>
      <c r="B45" s="8">
        <v>1</v>
      </c>
      <c r="C45" s="5">
        <v>0.5</v>
      </c>
      <c r="D45" s="5">
        <v>0.5</v>
      </c>
      <c r="E45" s="5">
        <v>2</v>
      </c>
      <c r="I45" s="4">
        <f>PRODUCT(B45:E45)^(1/4)</f>
        <v>0.8408964152537145</v>
      </c>
      <c r="J45" s="4">
        <f>I45/SUM($I$45:$I$48)</f>
        <v>0.18868744408718802</v>
      </c>
      <c r="K45" s="8">
        <f>(B45*$J$45+C45*$J$46+D45*$J$47+E45*$J$48)/J45</f>
        <v>4.015910256583451</v>
      </c>
    </row>
    <row r="46">
      <c r="A46" s="7" t="inlineStr">
        <is>
          <t xml:space="preserve">A2</t>
        </is>
      </c>
      <c r="B46" s="8">
        <f>1/C45</f>
        <v>2</v>
      </c>
      <c r="C46" s="8">
        <v>1</v>
      </c>
      <c r="D46" s="5">
        <v>1</v>
      </c>
      <c r="E46" s="5">
        <v>3</v>
      </c>
      <c r="I46" s="4">
        <f>PRODUCT(B46:E46)^(1/4)</f>
        <v>1.5650845800732873</v>
      </c>
      <c r="J46" s="4">
        <f>I46/SUM($I$45:$I$48)</f>
        <v>0.3511869046381858</v>
      </c>
      <c r="K46" s="8">
        <f>(B46*$J$45+C46*$J$46+D46*$J$47+E46*$J$48)/J46</f>
        <v>4.005174790925642</v>
      </c>
    </row>
    <row r="47">
      <c r="A47" s="7" t="inlineStr">
        <is>
          <t xml:space="preserve">A3</t>
        </is>
      </c>
      <c r="B47" s="8">
        <f>1/D45</f>
        <v>2</v>
      </c>
      <c r="C47" s="8">
        <f>1/D46</f>
        <v>1</v>
      </c>
      <c r="D47" s="8">
        <v>1</v>
      </c>
      <c r="E47" s="5">
        <v>3</v>
      </c>
      <c r="I47" s="4">
        <f>PRODUCT(B47:E47)^(1/4)</f>
        <v>1.5650845800732873</v>
      </c>
      <c r="J47" s="4">
        <f>I47/SUM($I$45:$I$48)</f>
        <v>0.3511869046381858</v>
      </c>
      <c r="K47" s="8">
        <f>(B47*$J$45+C47*$J$46+D47*$J$47+E47*$J$48)/J47</f>
        <v>4.005174790925642</v>
      </c>
    </row>
    <row r="48">
      <c r="A48" s="7" t="inlineStr">
        <is>
          <t xml:space="preserve">A4</t>
        </is>
      </c>
      <c r="B48" s="8">
        <f>1/E45</f>
        <v>0.5</v>
      </c>
      <c r="C48" s="8">
        <f>1/E46</f>
        <v>0.3333333333333333</v>
      </c>
      <c r="D48" s="8">
        <f>1/E47</f>
        <v>0.3333333333333333</v>
      </c>
      <c r="E48" s="8">
        <v>1</v>
      </c>
      <c r="I48" s="4">
        <f>PRODUCT(B48:E48)^(1/4)</f>
        <v>0.48549177170732344</v>
      </c>
      <c r="J48" s="4">
        <f>I48/SUM($I$45:$I$48)</f>
        <v>0.10893874663644047</v>
      </c>
      <c r="K48" s="8">
        <f>(B48*$J$45+C48*$J$46+D48*$J$47+E48*$J$48)/J48</f>
        <v>4.015165267431523</v>
      </c>
    </row>
    <row r="50">
      <c r="H50" s="7" t="inlineStr">
        <is>
          <t xml:space="preserve">λmax</t>
        </is>
      </c>
      <c r="I50" s="8">
        <f>AVERAGE(K45:K48)</f>
        <v>4.010356276466564</v>
      </c>
    </row>
    <row r="51">
      <c r="H51" s="7" t="inlineStr">
        <is>
          <t xml:space="preserve">CI</t>
        </is>
      </c>
      <c r="I51" s="8">
        <f>MAX(0,(I50-4)/(4-1))</f>
        <v>0.0034520921555213726</v>
      </c>
    </row>
    <row r="52">
      <c r="H52" s="7" t="inlineStr">
        <is>
          <t xml:space="preserve">RI</t>
        </is>
      </c>
      <c r="I52" s="8">
        <v>0.9</v>
      </c>
    </row>
    <row r="53">
      <c r="H53" s="7" t="inlineStr">
        <is>
          <t xml:space="preserve">CR</t>
        </is>
      </c>
      <c r="I53" s="8">
        <f>I51/I52</f>
        <v>0.003835657950579303</v>
      </c>
      <c r="J53" s="7" t="inlineStr">
        <is>
          <t xml:space="preserve">CR ≤ 0,10</t>
        </is>
      </c>
      <c r="K53" s="10" t="str">
        <f>IF(I53&lt;=0.1,"OK","ПРОВЕРИТЬ")</f>
        <v>OK</v>
      </c>
    </row>
    <row r="58" ht="27" customHeight="1">
      <c r="A58" s="2" t="inlineStr">
        <is>
          <t xml:space="preserve">Этап 4. K3 — Потенциал интеграции и развития | Benefit</t>
        </is>
      </c>
    </row>
    <row r="59">
      <c r="A59" s="3" t="inlineStr">
        <is>
          <t xml:space="preserve">Элемент</t>
        </is>
      </c>
      <c r="B59" s="3" t="inlineStr">
        <is>
          <t xml:space="preserve">A1</t>
        </is>
      </c>
      <c r="C59" s="3" t="inlineStr">
        <is>
          <t xml:space="preserve">A2</t>
        </is>
      </c>
      <c r="D59" s="3" t="inlineStr">
        <is>
          <t xml:space="preserve">A3</t>
        </is>
      </c>
      <c r="E59" s="3" t="inlineStr">
        <is>
          <t xml:space="preserve">A4</t>
        </is>
      </c>
      <c r="I59" s="3" t="inlineStr">
        <is>
          <t xml:space="preserve">Средн. геом.</t>
        </is>
      </c>
      <c r="J59" s="3" t="inlineStr">
        <is>
          <t xml:space="preserve">Приоритет</t>
        </is>
      </c>
      <c r="K59" s="3" t="inlineStr">
        <is>
          <t xml:space="preserve">λᵢ</t>
        </is>
      </c>
    </row>
    <row r="60">
      <c r="A60" s="7" t="inlineStr">
        <is>
          <t xml:space="preserve">A1</t>
        </is>
      </c>
      <c r="B60" s="8">
        <v>1</v>
      </c>
      <c r="C60" s="5">
        <v>0.3333333333333333</v>
      </c>
      <c r="D60" s="5">
        <v>0.5</v>
      </c>
      <c r="E60" s="5">
        <v>3</v>
      </c>
      <c r="I60" s="4">
        <f>PRODUCT(B60:E60)^(1/4)</f>
        <v>0.8408964152537146</v>
      </c>
      <c r="J60" s="4">
        <f>I60/SUM($I$60:$I$63)</f>
        <v>0.16971481487311424</v>
      </c>
      <c r="K60" s="8">
        <f>(B60*$J$60+C60*$J$61+D60*$J$62+E60*$J$63)/J60</f>
        <v>4.0504766623469965</v>
      </c>
    </row>
    <row r="61">
      <c r="A61" s="7" t="inlineStr">
        <is>
          <t xml:space="preserve">A2</t>
        </is>
      </c>
      <c r="B61" s="8">
        <f>1/C60</f>
        <v>3</v>
      </c>
      <c r="C61" s="8">
        <v>1</v>
      </c>
      <c r="D61" s="5">
        <v>2</v>
      </c>
      <c r="E61" s="5">
        <v>5</v>
      </c>
      <c r="I61" s="4">
        <f>PRODUCT(B61:E61)^(1/4)</f>
        <v>2.3403473193207156</v>
      </c>
      <c r="J61" s="4">
        <f>I61/SUM($I$60:$I$63)</f>
        <v>0.4723430910541628</v>
      </c>
      <c r="K61" s="8">
        <f>(B61*$J$60+C61*$J$61+D61*$J$62+E61*$J$63)/J61</f>
        <v>4.054092386764778</v>
      </c>
    </row>
    <row r="62">
      <c r="A62" s="7" t="inlineStr">
        <is>
          <t xml:space="preserve">A3</t>
        </is>
      </c>
      <c r="B62" s="8">
        <f>1/D60</f>
        <v>2</v>
      </c>
      <c r="C62" s="8">
        <f>1/D61</f>
        <v>0.5</v>
      </c>
      <c r="D62" s="8">
        <v>1</v>
      </c>
      <c r="E62" s="5">
        <v>4</v>
      </c>
      <c r="I62" s="4">
        <f>PRODUCT(B62:E62)^(1/4)</f>
        <v>1.414213562373095</v>
      </c>
      <c r="J62" s="4">
        <f>I62/SUM($I$60:$I$63)</f>
        <v>0.28542515888449904</v>
      </c>
      <c r="K62" s="8">
        <f>(B62*$J$60+C62*$J$61+D62*$J$62+E62*$J$63)/J62</f>
        <v>4.032910341223669</v>
      </c>
    </row>
    <row r="63">
      <c r="A63" s="7" t="inlineStr">
        <is>
          <t xml:space="preserve">A4</t>
        </is>
      </c>
      <c r="B63" s="8">
        <f>1/E60</f>
        <v>0.3333333333333333</v>
      </c>
      <c r="C63" s="8">
        <f>1/E61</f>
        <v>0.2</v>
      </c>
      <c r="D63" s="8">
        <f>1/E62</f>
        <v>0.25</v>
      </c>
      <c r="E63" s="8">
        <v>1</v>
      </c>
      <c r="I63" s="4">
        <f>PRODUCT(B63:E63)^(1/4)</f>
        <v>0.35930411196308426</v>
      </c>
      <c r="J63" s="4">
        <f>I63/SUM($I$60:$I$63)</f>
        <v>0.07251693518822404</v>
      </c>
      <c r="K63" s="8">
        <f>(B63*$J$60+C63*$J$61+D63*$J$62+E63*$J$63)/J63</f>
        <v>4.066821733604882</v>
      </c>
    </row>
    <row r="65">
      <c r="H65" s="7" t="inlineStr">
        <is>
          <t xml:space="preserve">λmax</t>
        </is>
      </c>
      <c r="I65" s="8">
        <f>AVERAGE(K60:K63)</f>
        <v>4.051075280985081</v>
      </c>
    </row>
    <row r="66">
      <c r="H66" s="7" t="inlineStr">
        <is>
          <t xml:space="preserve">CI</t>
        </is>
      </c>
      <c r="I66" s="8">
        <f>MAX(0,(I65-4)/(4-1))</f>
        <v>0.017025093661693802</v>
      </c>
    </row>
    <row r="67">
      <c r="H67" s="7" t="inlineStr">
        <is>
          <t xml:space="preserve">RI</t>
        </is>
      </c>
      <c r="I67" s="8">
        <v>0.9</v>
      </c>
    </row>
    <row r="68">
      <c r="H68" s="7" t="inlineStr">
        <is>
          <t xml:space="preserve">CR</t>
        </is>
      </c>
      <c r="I68" s="8">
        <f>I66/I67</f>
        <v>0.018916770735215336</v>
      </c>
      <c r="J68" s="7" t="inlineStr">
        <is>
          <t xml:space="preserve">CR ≤ 0,10</t>
        </is>
      </c>
      <c r="K68" s="10" t="str">
        <f>IF(I68&lt;=0.1,"OK","ПРОВЕРИТЬ")</f>
        <v>OK</v>
      </c>
    </row>
    <row r="73" ht="27" customHeight="1">
      <c r="A73" s="2" t="inlineStr">
        <is>
          <t xml:space="preserve">Этап 5. K4 — Демонстрационная и исследовательская ценность | Benefit</t>
        </is>
      </c>
    </row>
    <row r="74">
      <c r="A74" s="3" t="inlineStr">
        <is>
          <t xml:space="preserve">Элемент</t>
        </is>
      </c>
      <c r="B74" s="3" t="inlineStr">
        <is>
          <t xml:space="preserve">A1</t>
        </is>
      </c>
      <c r="C74" s="3" t="inlineStr">
        <is>
          <t xml:space="preserve">A2</t>
        </is>
      </c>
      <c r="D74" s="3" t="inlineStr">
        <is>
          <t xml:space="preserve">A3</t>
        </is>
      </c>
      <c r="E74" s="3" t="inlineStr">
        <is>
          <t xml:space="preserve">A4</t>
        </is>
      </c>
      <c r="I74" s="3" t="inlineStr">
        <is>
          <t xml:space="preserve">Средн. геом.</t>
        </is>
      </c>
      <c r="J74" s="3" t="inlineStr">
        <is>
          <t xml:space="preserve">Приоритет</t>
        </is>
      </c>
      <c r="K74" s="3" t="inlineStr">
        <is>
          <t xml:space="preserve">λᵢ</t>
        </is>
      </c>
    </row>
    <row r="75">
      <c r="A75" s="7" t="inlineStr">
        <is>
          <t xml:space="preserve">A1</t>
        </is>
      </c>
      <c r="B75" s="8">
        <v>1</v>
      </c>
      <c r="C75" s="5">
        <v>3</v>
      </c>
      <c r="D75" s="5">
        <v>2</v>
      </c>
      <c r="E75" s="5">
        <v>4</v>
      </c>
      <c r="I75" s="4">
        <f>PRODUCT(B75:E75)^(1/4)</f>
        <v>2.213363839400643</v>
      </c>
      <c r="J75" s="4">
        <f>I75/SUM($I$75:$I$78)</f>
        <v>0.466848563720221</v>
      </c>
      <c r="K75" s="8">
        <f>(B75*$J$75+C75*$J$76+D75*$J$77+E75*$J$78)/J75</f>
        <v>4.035587267884006</v>
      </c>
    </row>
    <row r="76">
      <c r="A76" s="7" t="inlineStr">
        <is>
          <t xml:space="preserve">A2</t>
        </is>
      </c>
      <c r="B76" s="8">
        <f>1/C75</f>
        <v>0.3333333333333333</v>
      </c>
      <c r="C76" s="8">
        <v>1</v>
      </c>
      <c r="D76" s="5">
        <v>0.5</v>
      </c>
      <c r="E76" s="5">
        <v>2</v>
      </c>
      <c r="I76" s="4">
        <f>PRODUCT(B76:E76)^(1/4)</f>
        <v>0.7598356856515925</v>
      </c>
      <c r="J76" s="4">
        <f>I76/SUM($I$75:$I$78)</f>
        <v>0.16026655545518995</v>
      </c>
      <c r="K76" s="8">
        <f>(B76*$J$75+C76*$J$76+D76*$J$77+E76*$J$78)/J76</f>
        <v>4.026216062201806</v>
      </c>
    </row>
    <row r="77">
      <c r="A77" s="7" t="inlineStr">
        <is>
          <t xml:space="preserve">A3</t>
        </is>
      </c>
      <c r="B77" s="8">
        <f>1/D75</f>
        <v>0.5</v>
      </c>
      <c r="C77" s="8">
        <f>1/D76</f>
        <v>2</v>
      </c>
      <c r="D77" s="8">
        <v>1</v>
      </c>
      <c r="E77" s="5">
        <v>3</v>
      </c>
      <c r="I77" s="4">
        <f>PRODUCT(B77:E77)^(1/4)</f>
        <v>1.3160740129524926</v>
      </c>
      <c r="J77" s="4">
        <f>I77/SUM($I$75:$I$78)</f>
        <v>0.27758981680244404</v>
      </c>
      <c r="K77" s="8">
        <f>(B77*$J$75+C77*$J$76+D77*$J$77+E77*$J$78)/J77</f>
        <v>4.0254805255865245</v>
      </c>
    </row>
    <row r="78">
      <c r="A78" s="7" t="inlineStr">
        <is>
          <t xml:space="preserve">A4</t>
        </is>
      </c>
      <c r="B78" s="8">
        <f>1/E75</f>
        <v>0.25</v>
      </c>
      <c r="C78" s="8">
        <f>1/E76</f>
        <v>0.5</v>
      </c>
      <c r="D78" s="8">
        <f>1/E77</f>
        <v>0.3333333333333333</v>
      </c>
      <c r="E78" s="8">
        <v>1</v>
      </c>
      <c r="I78" s="4">
        <f>PRODUCT(B78:E78)^(1/4)</f>
        <v>0.45180100180492244</v>
      </c>
      <c r="J78" s="4">
        <f>I78/SUM($I$75:$I$78)</f>
        <v>0.09529506402214503</v>
      </c>
      <c r="K78" s="8">
        <f>(B78*$J$75+C78*$J$76+D78*$J$77+E78*$J$78)/J78</f>
        <v>4.03662483005995</v>
      </c>
    </row>
    <row r="80">
      <c r="H80" s="7" t="inlineStr">
        <is>
          <t xml:space="preserve">λmax</t>
        </is>
      </c>
      <c r="I80" s="8">
        <f>AVERAGE(K75:K78)</f>
        <v>4.030977171433071</v>
      </c>
    </row>
    <row r="81">
      <c r="H81" s="7" t="inlineStr">
        <is>
          <t xml:space="preserve">CI</t>
        </is>
      </c>
      <c r="I81" s="8">
        <f>MAX(0,(I80-4)/(4-1))</f>
        <v>0.010325723811023776</v>
      </c>
    </row>
    <row r="82">
      <c r="H82" s="7" t="inlineStr">
        <is>
          <t xml:space="preserve">RI</t>
        </is>
      </c>
      <c r="I82" s="8">
        <v>0.9</v>
      </c>
    </row>
    <row r="83">
      <c r="H83" s="7" t="inlineStr">
        <is>
          <t xml:space="preserve">CR</t>
        </is>
      </c>
      <c r="I83" s="8">
        <f>I81/I82</f>
        <v>0.011473026456693085</v>
      </c>
      <c r="J83" s="7" t="inlineStr">
        <is>
          <t xml:space="preserve">CR ≤ 0,10</t>
        </is>
      </c>
      <c r="K83" s="10" t="str">
        <f>IF(I83&lt;=0.1,"OK","ПРОВЕРИТЬ")</f>
        <v>OK</v>
      </c>
    </row>
    <row r="88" ht="27" customHeight="1">
      <c r="A88" s="2" t="inlineStr">
        <is>
          <t xml:space="preserve">Этап 6. K5 — Трудоёмкость реализации MVP | Cost</t>
        </is>
      </c>
    </row>
    <row r="89">
      <c r="A89" s="3" t="inlineStr">
        <is>
          <t xml:space="preserve">Элемент</t>
        </is>
      </c>
      <c r="B89" s="3" t="inlineStr">
        <is>
          <t xml:space="preserve">A1</t>
        </is>
      </c>
      <c r="C89" s="3" t="inlineStr">
        <is>
          <t xml:space="preserve">A2</t>
        </is>
      </c>
      <c r="D89" s="3" t="inlineStr">
        <is>
          <t xml:space="preserve">A3</t>
        </is>
      </c>
      <c r="E89" s="3" t="inlineStr">
        <is>
          <t xml:space="preserve">A4</t>
        </is>
      </c>
      <c r="I89" s="3" t="inlineStr">
        <is>
          <t xml:space="preserve">Средн. геом.</t>
        </is>
      </c>
      <c r="J89" s="3" t="inlineStr">
        <is>
          <t xml:space="preserve">Приоритет</t>
        </is>
      </c>
      <c r="K89" s="3" t="inlineStr">
        <is>
          <t xml:space="preserve">λᵢ</t>
        </is>
      </c>
    </row>
    <row r="90">
      <c r="A90" s="7" t="inlineStr">
        <is>
          <t xml:space="preserve">A1</t>
        </is>
      </c>
      <c r="B90" s="8">
        <v>1</v>
      </c>
      <c r="C90" s="5">
        <v>3</v>
      </c>
      <c r="D90" s="5">
        <v>3</v>
      </c>
      <c r="E90" s="5">
        <v>0.5</v>
      </c>
      <c r="I90" s="4">
        <f>PRODUCT(B90:E90)^(1/4)</f>
        <v>1.4564753151219703</v>
      </c>
      <c r="J90" s="4">
        <f>I90/SUM($I$90:$I$93)</f>
        <v>0.296667142678306</v>
      </c>
      <c r="K90" s="8">
        <f>(B90*$J$90+C90*$J$91+D90*$J$92+E90*$J$93)/J90</f>
        <v>4.029860420328369</v>
      </c>
    </row>
    <row r="91">
      <c r="A91" s="7" t="inlineStr">
        <is>
          <t xml:space="preserve">A2</t>
        </is>
      </c>
      <c r="B91" s="8">
        <f>1/C90</f>
        <v>0.3333333333333333</v>
      </c>
      <c r="C91" s="8">
        <v>1</v>
      </c>
      <c r="D91" s="5">
        <v>1</v>
      </c>
      <c r="E91" s="5">
        <v>0.25</v>
      </c>
      <c r="I91" s="4">
        <f>PRODUCT(B91:E91)^(1/4)</f>
        <v>0.537284965911771</v>
      </c>
      <c r="J91" s="4">
        <f>I91/SUM($I$90:$I$93)</f>
        <v>0.1094387209904123</v>
      </c>
      <c r="K91" s="8">
        <f>(B91*$J$90+C91*$J$91+D91*$J$92+E91*$J$93)/J91</f>
        <v>4.010283923310166</v>
      </c>
    </row>
    <row r="92">
      <c r="A92" s="7" t="inlineStr">
        <is>
          <t xml:space="preserve">A3</t>
        </is>
      </c>
      <c r="B92" s="8">
        <f>1/D90</f>
        <v>0.3333333333333333</v>
      </c>
      <c r="C92" s="8">
        <f>1/D91</f>
        <v>1</v>
      </c>
      <c r="D92" s="8">
        <v>1</v>
      </c>
      <c r="E92" s="5">
        <v>0.25</v>
      </c>
      <c r="I92" s="4">
        <f>PRODUCT(B92:E92)^(1/4)</f>
        <v>0.537284965911771</v>
      </c>
      <c r="J92" s="4">
        <f>I92/SUM($I$90:$I$93)</f>
        <v>0.1094387209904123</v>
      </c>
      <c r="K92" s="8">
        <f>(B92*$J$90+C92*$J$91+D92*$J$92+E92*$J$93)/J92</f>
        <v>4.010283923310166</v>
      </c>
    </row>
    <row r="93">
      <c r="A93" s="7" t="inlineStr">
        <is>
          <t xml:space="preserve">A4</t>
        </is>
      </c>
      <c r="B93" s="8">
        <f>1/E90</f>
        <v>2</v>
      </c>
      <c r="C93" s="8">
        <f>1/E91</f>
        <v>4</v>
      </c>
      <c r="D93" s="8">
        <f>1/E92</f>
        <v>4</v>
      </c>
      <c r="E93" s="8">
        <v>1</v>
      </c>
      <c r="I93" s="4">
        <f>PRODUCT(B93:E93)^(1/4)</f>
        <v>2.378414230005442</v>
      </c>
      <c r="J93" s="4">
        <f>I93/SUM($I$90:$I$93)</f>
        <v>0.4844554153408694</v>
      </c>
      <c r="K93" s="8">
        <f>(B93*$J$90+C93*$J$91+D93*$J$92+E93*$J$93)/J93</f>
        <v>4.03194887861128</v>
      </c>
    </row>
    <row r="95">
      <c r="H95" s="7" t="inlineStr">
        <is>
          <t xml:space="preserve">λmax</t>
        </is>
      </c>
      <c r="I95" s="8">
        <f>AVERAGE(K90:K93)</f>
        <v>4.020594286389995</v>
      </c>
    </row>
    <row r="96">
      <c r="H96" s="7" t="inlineStr">
        <is>
          <t xml:space="preserve">CI</t>
        </is>
      </c>
      <c r="I96" s="8">
        <f>MAX(0,(I95-4)/(4-1))</f>
        <v>0.006864762129998425</v>
      </c>
    </row>
    <row r="97">
      <c r="H97" s="7" t="inlineStr">
        <is>
          <t xml:space="preserve">RI</t>
        </is>
      </c>
      <c r="I97" s="8">
        <v>0.9</v>
      </c>
    </row>
    <row r="98">
      <c r="H98" s="7" t="inlineStr">
        <is>
          <t xml:space="preserve">CR</t>
        </is>
      </c>
      <c r="I98" s="8">
        <f>I96/I97</f>
        <v>0.007627513477776028</v>
      </c>
      <c r="J98" s="7" t="inlineStr">
        <is>
          <t xml:space="preserve">CR ≤ 0,10</t>
        </is>
      </c>
      <c r="K98" s="10" t="str">
        <f>IF(I98&lt;=0.1,"OK","ПРОВЕРИТЬ")</f>
        <v>OK</v>
      </c>
    </row>
    <row r="103" ht="27" customHeight="1">
      <c r="A103" s="2" t="inlineStr">
        <is>
          <t xml:space="preserve">Этап 7. K6 — Внешние зависимости MVP | Cost</t>
        </is>
      </c>
    </row>
    <row r="104">
      <c r="A104" s="3" t="inlineStr">
        <is>
          <t xml:space="preserve">Элемент</t>
        </is>
      </c>
      <c r="B104" s="3" t="inlineStr">
        <is>
          <t xml:space="preserve">A1</t>
        </is>
      </c>
      <c r="C104" s="3" t="inlineStr">
        <is>
          <t xml:space="preserve">A2</t>
        </is>
      </c>
      <c r="D104" s="3" t="inlineStr">
        <is>
          <t xml:space="preserve">A3</t>
        </is>
      </c>
      <c r="E104" s="3" t="inlineStr">
        <is>
          <t xml:space="preserve">A4</t>
        </is>
      </c>
      <c r="I104" s="3" t="inlineStr">
        <is>
          <t xml:space="preserve">Средн. геом.</t>
        </is>
      </c>
      <c r="J104" s="3" t="inlineStr">
        <is>
          <t xml:space="preserve">Приоритет</t>
        </is>
      </c>
      <c r="K104" s="3" t="inlineStr">
        <is>
          <t xml:space="preserve">λᵢ</t>
        </is>
      </c>
    </row>
    <row r="105">
      <c r="A105" s="7" t="inlineStr">
        <is>
          <t xml:space="preserve">A1</t>
        </is>
      </c>
      <c r="B105" s="8">
        <v>1</v>
      </c>
      <c r="C105" s="5">
        <v>5</v>
      </c>
      <c r="D105" s="5">
        <v>4</v>
      </c>
      <c r="E105" s="5">
        <v>0.5</v>
      </c>
      <c r="I105" s="4">
        <f>PRODUCT(B105:E105)^(1/4)</f>
        <v>1.7782794100389228</v>
      </c>
      <c r="J105" s="4">
        <f>I105/SUM($I$105:$I$108)</f>
        <v>0.3243211095246922</v>
      </c>
      <c r="K105" s="8">
        <f>(B105*$J$105+C105*$J$106+D105*$J$107+E105*$J$108)/J105</f>
        <v>4.057711106442308</v>
      </c>
    </row>
    <row r="106">
      <c r="A106" s="7" t="inlineStr">
        <is>
          <t xml:space="preserve">A2</t>
        </is>
      </c>
      <c r="B106" s="8">
        <f>1/C105</f>
        <v>0.2</v>
      </c>
      <c r="C106" s="8">
        <v>1</v>
      </c>
      <c r="D106" s="5">
        <v>0.5</v>
      </c>
      <c r="E106" s="5">
        <v>0.16666666666666666</v>
      </c>
      <c r="I106" s="4">
        <f>PRODUCT(B106:E106)^(1/4)</f>
        <v>0.35930411196308426</v>
      </c>
      <c r="J106" s="4">
        <f>I106/SUM($I$105:$I$108)</f>
        <v>0.0655295830288566</v>
      </c>
      <c r="K106" s="8">
        <f>(B106*$J$105+C106*$J$106+D106*$J$107+E106*$J$108)/J106</f>
        <v>4.063383139540402</v>
      </c>
    </row>
    <row r="107">
      <c r="A107" s="7" t="inlineStr">
        <is>
          <t xml:space="preserve">A3</t>
        </is>
      </c>
      <c r="B107" s="8">
        <f>1/D105</f>
        <v>0.25</v>
      </c>
      <c r="C107" s="8">
        <f>1/D106</f>
        <v>2</v>
      </c>
      <c r="D107" s="8">
        <v>1</v>
      </c>
      <c r="E107" s="5">
        <v>0.2</v>
      </c>
      <c r="I107" s="4">
        <f>PRODUCT(B107:E107)^(1/4)</f>
        <v>0.5623413251903491</v>
      </c>
      <c r="J107" s="4">
        <f>I107/SUM($I$105:$I$108)</f>
        <v>0.10255933993709562</v>
      </c>
      <c r="K107" s="8">
        <f>(B107*$J$105+C107*$J$106+D107*$J$107+E107*$J$108)/J107</f>
        <v>4.058302024302593</v>
      </c>
    </row>
    <row r="108">
      <c r="A108" s="7" t="inlineStr">
        <is>
          <t xml:space="preserve">A4</t>
        </is>
      </c>
      <c r="B108" s="8">
        <f>1/E105</f>
        <v>2</v>
      </c>
      <c r="C108" s="8">
        <f>1/E106</f>
        <v>6</v>
      </c>
      <c r="D108" s="8">
        <f>1/E107</f>
        <v>5</v>
      </c>
      <c r="E108" s="8">
        <v>1</v>
      </c>
      <c r="I108" s="4">
        <f>PRODUCT(B108:E108)^(1/4)</f>
        <v>2.7831576837137404</v>
      </c>
      <c r="J108" s="4">
        <f>I108/SUM($I$105:$I$108)</f>
        <v>0.5075899675093555</v>
      </c>
      <c r="K108" s="8">
        <f>(B108*$J$105+C108*$J$106+D108*$J$107+E108*$J$108)/J108</f>
        <v>4.062740630072341</v>
      </c>
    </row>
    <row r="110">
      <c r="H110" s="7" t="inlineStr">
        <is>
          <t xml:space="preserve">λmax</t>
        </is>
      </c>
      <c r="I110" s="8">
        <f>AVERAGE(K105:K108)</f>
        <v>4.060534225089411</v>
      </c>
    </row>
    <row r="111">
      <c r="H111" s="7" t="inlineStr">
        <is>
          <t xml:space="preserve">CI</t>
        </is>
      </c>
      <c r="I111" s="8">
        <f>MAX(0,(I110-4)/(4-1))</f>
        <v>0.020178075029803583</v>
      </c>
    </row>
    <row r="112">
      <c r="H112" s="7" t="inlineStr">
        <is>
          <t xml:space="preserve">RI</t>
        </is>
      </c>
      <c r="I112" s="8">
        <v>0.9</v>
      </c>
    </row>
    <row r="113">
      <c r="H113" s="7" t="inlineStr">
        <is>
          <t xml:space="preserve">CR</t>
        </is>
      </c>
      <c r="I113" s="8">
        <f>I111/I112</f>
        <v>0.022420083366448424</v>
      </c>
      <c r="J113" s="7" t="inlineStr">
        <is>
          <t xml:space="preserve">CR ≤ 0,10</t>
        </is>
      </c>
      <c r="K113" s="10" t="str">
        <f>IF(I113&lt;=0.1,"OK","ПРОВЕРИТЬ")</f>
        <v>OK</v>
      </c>
    </row>
    <row r="118" ht="27" customHeight="1">
      <c r="A118" s="2" t="inlineStr">
        <is>
          <t xml:space="preserve">Этап 8. K7 — Эксплуатация и сопровождение MVP | Cost</t>
        </is>
      </c>
    </row>
    <row r="119">
      <c r="A119" s="3" t="inlineStr">
        <is>
          <t xml:space="preserve">Элемент</t>
        </is>
      </c>
      <c r="B119" s="3" t="inlineStr">
        <is>
          <t xml:space="preserve">A1</t>
        </is>
      </c>
      <c r="C119" s="3" t="inlineStr">
        <is>
          <t xml:space="preserve">A2</t>
        </is>
      </c>
      <c r="D119" s="3" t="inlineStr">
        <is>
          <t xml:space="preserve">A3</t>
        </is>
      </c>
      <c r="E119" s="3" t="inlineStr">
        <is>
          <t xml:space="preserve">A4</t>
        </is>
      </c>
      <c r="I119" s="3" t="inlineStr">
        <is>
          <t xml:space="preserve">Средн. геом.</t>
        </is>
      </c>
      <c r="J119" s="3" t="inlineStr">
        <is>
          <t xml:space="preserve">Приоритет</t>
        </is>
      </c>
      <c r="K119" s="3" t="inlineStr">
        <is>
          <t xml:space="preserve">λᵢ</t>
        </is>
      </c>
    </row>
    <row r="120">
      <c r="A120" s="7" t="inlineStr">
        <is>
          <t xml:space="preserve">A1</t>
        </is>
      </c>
      <c r="B120" s="8">
        <v>1</v>
      </c>
      <c r="C120" s="5">
        <v>4</v>
      </c>
      <c r="D120" s="5">
        <v>4</v>
      </c>
      <c r="E120" s="5">
        <v>0.5</v>
      </c>
      <c r="I120" s="4">
        <f>PRODUCT(B120:E120)^(1/4)</f>
        <v>1.681792830507429</v>
      </c>
      <c r="J120" s="4">
        <f>I120/SUM($I$120:$I$123)</f>
        <v>0.3181187571113087</v>
      </c>
      <c r="K120" s="8">
        <f>(B120*$J$120+C120*$J$121+D120*$J$122+E120*$J$123)/J120</f>
        <v>4.039934715803491</v>
      </c>
    </row>
    <row r="121">
      <c r="A121" s="7" t="inlineStr">
        <is>
          <t xml:space="preserve">A2</t>
        </is>
      </c>
      <c r="B121" s="8">
        <f>1/C120</f>
        <v>0.25</v>
      </c>
      <c r="C121" s="8">
        <v>1</v>
      </c>
      <c r="D121" s="5">
        <v>1</v>
      </c>
      <c r="E121" s="5">
        <v>0.2</v>
      </c>
      <c r="I121" s="4">
        <f>PRODUCT(B121:E121)^(1/4)</f>
        <v>0.4728708045015879</v>
      </c>
      <c r="J121" s="4">
        <f>I121/SUM($I$120:$I$123)</f>
        <v>0.08944566172094007</v>
      </c>
      <c r="K121" s="8">
        <f>(B121*$J$120+C121*$J$121+D121*$J$122+E121*$J$123)/J121</f>
        <v>4.013822355400159</v>
      </c>
    </row>
    <row r="122">
      <c r="A122" s="7" t="inlineStr">
        <is>
          <t xml:space="preserve">A3</t>
        </is>
      </c>
      <c r="B122" s="8">
        <f>1/D120</f>
        <v>0.25</v>
      </c>
      <c r="C122" s="8">
        <f>1/D121</f>
        <v>1</v>
      </c>
      <c r="D122" s="8">
        <v>1</v>
      </c>
      <c r="E122" s="5">
        <v>0.2</v>
      </c>
      <c r="I122" s="4">
        <f>PRODUCT(B122:E122)^(1/4)</f>
        <v>0.4728708045015879</v>
      </c>
      <c r="J122" s="4">
        <f>I122/SUM($I$120:$I$123)</f>
        <v>0.08944566172094007</v>
      </c>
      <c r="K122" s="8">
        <f>(B122*$J$120+C122*$J$121+D122*$J$122+E122*$J$123)/J122</f>
        <v>4.013822355400159</v>
      </c>
    </row>
    <row r="123">
      <c r="A123" s="7" t="inlineStr">
        <is>
          <t xml:space="preserve">A4</t>
        </is>
      </c>
      <c r="B123" s="8">
        <f>1/E120</f>
        <v>2</v>
      </c>
      <c r="C123" s="8">
        <f>1/E121</f>
        <v>5</v>
      </c>
      <c r="D123" s="8">
        <f>1/E122</f>
        <v>5</v>
      </c>
      <c r="E123" s="8">
        <v>1</v>
      </c>
      <c r="I123" s="4">
        <f>PRODUCT(B123:E123)^(1/4)</f>
        <v>2.659147948472494</v>
      </c>
      <c r="J123" s="4">
        <f>I123/SUM($I$120:$I$123)</f>
        <v>0.502989919446811</v>
      </c>
      <c r="K123" s="8">
        <f>(B123*$J$120+C123*$J$121+D123*$J$122+E123*$J$123)/J123</f>
        <v>4.043190474106275</v>
      </c>
    </row>
    <row r="125">
      <c r="H125" s="7" t="inlineStr">
        <is>
          <t xml:space="preserve">λmax</t>
        </is>
      </c>
      <c r="I125" s="8">
        <f>AVERAGE(K120:K123)</f>
        <v>4.027692475177521</v>
      </c>
    </row>
    <row r="126">
      <c r="H126" s="7" t="inlineStr">
        <is>
          <t xml:space="preserve">CI</t>
        </is>
      </c>
      <c r="I126" s="8">
        <f>MAX(0,(I125-4)/(4-1))</f>
        <v>0.009230825059173794</v>
      </c>
    </row>
    <row r="127">
      <c r="H127" s="7" t="inlineStr">
        <is>
          <t xml:space="preserve">RI</t>
        </is>
      </c>
      <c r="I127" s="8">
        <v>0.9</v>
      </c>
    </row>
    <row r="128">
      <c r="H128" s="7" t="inlineStr">
        <is>
          <t xml:space="preserve">CR</t>
        </is>
      </c>
      <c r="I128" s="8">
        <f>I126/I127</f>
        <v>0.010256472287970882</v>
      </c>
      <c r="J128" s="7" t="inlineStr">
        <is>
          <t xml:space="preserve">CR ≤ 0,10</t>
        </is>
      </c>
      <c r="K128" s="10" t="str">
        <f>IF(I128&lt;=0.1,"OK","ПРОВЕРИТЬ")</f>
        <v>OK</v>
      </c>
    </row>
  </sheetData>
  <mergeCells count="11">
    <mergeCell ref="A1:L1"/>
    <mergeCell ref="A2:L2"/>
    <mergeCell ref="A3:L3"/>
    <mergeCell ref="A7:L7"/>
    <mergeCell ref="A28:L28"/>
    <mergeCell ref="A43:L43"/>
    <mergeCell ref="A58:L58"/>
    <mergeCell ref="A73:L73"/>
    <mergeCell ref="A88:L88"/>
    <mergeCell ref="A103:L103"/>
    <mergeCell ref="A118:L118"/>
  </mergeCells>
</worksheet>
</file>

<file path=xl/worksheets/sheet3.xml><?xml version="1.0" encoding="utf-8"?>
<worksheet xmlns="http://schemas.openxmlformats.org/spreadsheetml/2006/main">
  <dimension ref="A1:L134"/>
  <sheetViews>
    <sheetView workbookViewId="0">
      <pane ySplit="4" topLeftCell="A5" activePane="bottomLeft" state="frozen"/>
    </sheetView>
  </sheetViews>
  <sheetFormatPr defaultRowHeight="19"/>
  <cols>
    <col min="1" max="1" width="37" customWidth="1"/>
    <col min="2" max="8" width="16" customWidth="1"/>
    <col min="9" max="12" width="19" customWidth="1"/>
  </cols>
  <sheetData>
    <row r="1" ht="27" customHeight="1">
      <c r="A1" s="1" t="inlineStr">
        <is>
          <t xml:space="preserve">Чёткий МАИ — эксперт Шатков</t>
        </is>
      </c>
    </row>
    <row r="2" ht="27" customHeight="1">
      <c r="A2" s="6" t="inlineStr">
        <is>
          <t xml:space="preserve">ЧЕРНОВИК: сравнения преобразованы из оценок 0–10; подтвердите или измените жёлтые значения.</t>
        </is>
      </c>
    </row>
    <row r="3" ht="27" customHeight="1">
      <c r="A3" s="3" t="inlineStr">
        <is>
          <t xml:space="preserve">Верхний треугольник — ввод; нижний — обратные формулы. Приоритеты и CR вычисляются автоматически.</t>
        </is>
      </c>
    </row>
    <row r="7" ht="27" customHeight="1">
      <c r="A7" s="2" t="inlineStr">
        <is>
          <t xml:space="preserve">Этап 1. Веса критериев — матрица 7×7</t>
        </is>
      </c>
    </row>
    <row r="8">
      <c r="A8" s="3" t="inlineStr">
        <is>
          <t xml:space="preserve">Элемент</t>
        </is>
      </c>
      <c r="B8" s="3" t="inlineStr">
        <is>
          <t xml:space="preserve">K1</t>
        </is>
      </c>
      <c r="C8" s="3" t="inlineStr">
        <is>
          <t xml:space="preserve">K2</t>
        </is>
      </c>
      <c r="D8" s="3" t="inlineStr">
        <is>
          <t xml:space="preserve">K3</t>
        </is>
      </c>
      <c r="E8" s="3" t="inlineStr">
        <is>
          <t xml:space="preserve">K4</t>
        </is>
      </c>
      <c r="F8" s="3" t="inlineStr">
        <is>
          <t xml:space="preserve">K5</t>
        </is>
      </c>
      <c r="G8" s="3" t="inlineStr">
        <is>
          <t xml:space="preserve">K6</t>
        </is>
      </c>
      <c r="H8" s="3" t="inlineStr">
        <is>
          <t xml:space="preserve">K7</t>
        </is>
      </c>
      <c r="I8" s="3" t="inlineStr">
        <is>
          <t xml:space="preserve">Средн. геом.</t>
        </is>
      </c>
      <c r="J8" s="3" t="inlineStr">
        <is>
          <t xml:space="preserve">Приоритет</t>
        </is>
      </c>
      <c r="K8" s="3" t="inlineStr">
        <is>
          <t xml:space="preserve">λᵢ</t>
        </is>
      </c>
    </row>
    <row r="9">
      <c r="A9" s="7" t="inlineStr">
        <is>
          <t xml:space="preserve">K1</t>
        </is>
      </c>
      <c r="B9" s="8">
        <v>1</v>
      </c>
      <c r="C9" s="5">
        <v>2</v>
      </c>
      <c r="D9" s="5">
        <v>3</v>
      </c>
      <c r="E9" s="5">
        <v>2</v>
      </c>
      <c r="F9" s="5">
        <v>0.5</v>
      </c>
      <c r="G9" s="5">
        <v>2</v>
      </c>
      <c r="H9" s="5">
        <v>2</v>
      </c>
      <c r="I9" s="4">
        <f>PRODUCT(B9:H9)^(1/7)</f>
        <v>1.5746101062584457</v>
      </c>
      <c r="J9" s="4">
        <f>I9/SUM($I$9:$I$15)</f>
        <v>0.19714797473830953</v>
      </c>
      <c r="K9" s="8">
        <f>(B9*$J$9+C9*$J$10+D9*$J$11+E9*$J$12+F9*$J$13+G9*$J$14+H9*$J$15)/J9</f>
        <v>7.042339351764715</v>
      </c>
    </row>
    <row r="10">
      <c r="A10" s="7" t="inlineStr">
        <is>
          <t xml:space="preserve">K2</t>
        </is>
      </c>
      <c r="B10" s="8">
        <f>1/C9</f>
        <v>0.5</v>
      </c>
      <c r="C10" s="8">
        <v>1</v>
      </c>
      <c r="D10" s="5">
        <v>2</v>
      </c>
      <c r="E10" s="5">
        <v>1</v>
      </c>
      <c r="F10" s="5">
        <v>0.3333333333333333</v>
      </c>
      <c r="G10" s="5">
        <v>1</v>
      </c>
      <c r="H10" s="5">
        <v>1</v>
      </c>
      <c r="I10" s="4">
        <f>PRODUCT(B10:H10)^(1/7)</f>
        <v>0.8547513999071522</v>
      </c>
      <c r="J10" s="4">
        <f>I10/SUM($I$9:$I$15)</f>
        <v>0.10701856080223295</v>
      </c>
      <c r="K10" s="8">
        <f>(B10*$J$9+C10*$J$10+D10*$J$11+E10*$J$12+F10*$J$13+G10*$J$14+H10*$J$15)/J10</f>
        <v>7.008496575407728</v>
      </c>
    </row>
    <row r="11">
      <c r="A11" s="7" t="inlineStr">
        <is>
          <t xml:space="preserve">K3</t>
        </is>
      </c>
      <c r="B11" s="8">
        <f>1/D9</f>
        <v>0.3333333333333333</v>
      </c>
      <c r="C11" s="8">
        <f>1/D10</f>
        <v>0.5</v>
      </c>
      <c r="D11" s="8">
        <v>1</v>
      </c>
      <c r="E11" s="5">
        <v>0.5</v>
      </c>
      <c r="F11" s="5">
        <v>0.25</v>
      </c>
      <c r="G11" s="5">
        <v>0.5</v>
      </c>
      <c r="H11" s="5">
        <v>0.5</v>
      </c>
      <c r="I11" s="4">
        <f>PRODUCT(B11:H11)^(1/7)</f>
        <v>0.471861028717749</v>
      </c>
      <c r="J11" s="4">
        <f>I11/SUM($I$9:$I$15)</f>
        <v>0.059079035375104345</v>
      </c>
      <c r="K11" s="8">
        <f>(B11*$J$9+C11*$J$10+D11*$J$11+E11*$J$12+F11*$J$13+G11*$J$14+H11*$J$15)/J11</f>
        <v>7.0711519336089435</v>
      </c>
    </row>
    <row r="12">
      <c r="A12" s="7" t="inlineStr">
        <is>
          <t xml:space="preserve">K4</t>
        </is>
      </c>
      <c r="B12" s="8">
        <f>1/E9</f>
        <v>0.5</v>
      </c>
      <c r="C12" s="8">
        <f>1/E10</f>
        <v>1</v>
      </c>
      <c r="D12" s="8">
        <f>1/E11</f>
        <v>2</v>
      </c>
      <c r="E12" s="8">
        <v>1</v>
      </c>
      <c r="F12" s="5">
        <v>0.3333333333333333</v>
      </c>
      <c r="G12" s="5">
        <v>1</v>
      </c>
      <c r="H12" s="5">
        <v>1</v>
      </c>
      <c r="I12" s="4">
        <f>PRODUCT(B12:H12)^(1/7)</f>
        <v>0.8547513999071522</v>
      </c>
      <c r="J12" s="4">
        <f>I12/SUM($I$9:$I$15)</f>
        <v>0.10701856080223295</v>
      </c>
      <c r="K12" s="8">
        <f>(B12*$J$9+C12*$J$10+D12*$J$11+E12*$J$12+F12*$J$13+G12*$J$14+H12*$J$15)/J12</f>
        <v>7.008496575407728</v>
      </c>
    </row>
    <row r="13">
      <c r="A13" s="7" t="inlineStr">
        <is>
          <t xml:space="preserve">K5</t>
        </is>
      </c>
      <c r="B13" s="8">
        <f>1/F9</f>
        <v>2</v>
      </c>
      <c r="C13" s="8">
        <f>1/F10</f>
        <v>3</v>
      </c>
      <c r="D13" s="8">
        <f>1/F11</f>
        <v>4</v>
      </c>
      <c r="E13" s="8">
        <f>1/F12</f>
        <v>3</v>
      </c>
      <c r="F13" s="8">
        <v>1</v>
      </c>
      <c r="G13" s="5">
        <v>3</v>
      </c>
      <c r="H13" s="5">
        <v>3</v>
      </c>
      <c r="I13" s="4">
        <f>PRODUCT(B13:H13)^(1/7)</f>
        <v>2.5214686466427243</v>
      </c>
      <c r="J13" s="4">
        <f>I13/SUM($I$9:$I$15)</f>
        <v>0.3156987466776543</v>
      </c>
      <c r="K13" s="8">
        <f>(B13*$J$9+C13*$J$10+D13*$J$11+E13*$J$12+F13*$J$13+G13*$J$14+H13*$J$15)/J13</f>
        <v>7.065386197300882</v>
      </c>
    </row>
    <row r="14">
      <c r="A14" s="7" t="inlineStr">
        <is>
          <t xml:space="preserve">K6</t>
        </is>
      </c>
      <c r="B14" s="8">
        <f>1/G9</f>
        <v>0.5</v>
      </c>
      <c r="C14" s="8">
        <f>1/G10</f>
        <v>1</v>
      </c>
      <c r="D14" s="8">
        <f>1/G11</f>
        <v>2</v>
      </c>
      <c r="E14" s="8">
        <f>1/G12</f>
        <v>1</v>
      </c>
      <c r="F14" s="8">
        <f>1/G13</f>
        <v>0.3333333333333333</v>
      </c>
      <c r="G14" s="8">
        <v>1</v>
      </c>
      <c r="H14" s="5">
        <v>1</v>
      </c>
      <c r="I14" s="4">
        <f>PRODUCT(B14:H14)^(1/7)</f>
        <v>0.8547513999071522</v>
      </c>
      <c r="J14" s="4">
        <f>I14/SUM($I$9:$I$15)</f>
        <v>0.10701856080223295</v>
      </c>
      <c r="K14" s="8">
        <f>(B14*$J$9+C14*$J$10+D14*$J$11+E14*$J$12+F14*$J$13+G14*$J$14+H14*$J$15)/J14</f>
        <v>7.008496575407728</v>
      </c>
    </row>
    <row r="15">
      <c r="A15" s="7" t="inlineStr">
        <is>
          <t xml:space="preserve">K7</t>
        </is>
      </c>
      <c r="B15" s="8">
        <f>1/H9</f>
        <v>0.5</v>
      </c>
      <c r="C15" s="8">
        <f>1/H10</f>
        <v>1</v>
      </c>
      <c r="D15" s="8">
        <f>1/H11</f>
        <v>2</v>
      </c>
      <c r="E15" s="8">
        <f>1/H12</f>
        <v>1</v>
      </c>
      <c r="F15" s="8">
        <f>1/H13</f>
        <v>0.3333333333333333</v>
      </c>
      <c r="G15" s="8">
        <f>1/H14</f>
        <v>1</v>
      </c>
      <c r="H15" s="8">
        <v>1</v>
      </c>
      <c r="I15" s="4">
        <f>PRODUCT(B15:H15)^(1/7)</f>
        <v>0.8547513999071522</v>
      </c>
      <c r="J15" s="4">
        <f>I15/SUM($I$9:$I$15)</f>
        <v>0.10701856080223295</v>
      </c>
      <c r="K15" s="8">
        <f>(B15*$J$9+C15*$J$10+D15*$J$11+E15*$J$12+F15*$J$13+G15*$J$14+H15*$J$15)/J15</f>
        <v>7.008496575407728</v>
      </c>
    </row>
    <row r="17">
      <c r="H17" s="7" t="inlineStr">
        <is>
          <t xml:space="preserve">λmax</t>
        </is>
      </c>
      <c r="I17" s="8">
        <f>AVERAGE(K9:K15)</f>
        <v>7.030409112043635</v>
      </c>
    </row>
    <row r="18">
      <c r="H18" s="7" t="inlineStr">
        <is>
          <t xml:space="preserve">CI</t>
        </is>
      </c>
      <c r="I18" s="8">
        <f>MAX(0,(I17-7)/(7-1))</f>
        <v>0.005068185340605898</v>
      </c>
    </row>
    <row r="19">
      <c r="H19" s="7" t="inlineStr">
        <is>
          <t xml:space="preserve">RI</t>
        </is>
      </c>
      <c r="I19" s="8">
        <v>1.32</v>
      </c>
    </row>
    <row r="20">
      <c r="H20" s="7" t="inlineStr">
        <is>
          <t xml:space="preserve">CR</t>
        </is>
      </c>
      <c r="I20" s="8">
        <f>I18/I19</f>
        <v>0.003839534348943862</v>
      </c>
      <c r="J20" s="7" t="inlineStr">
        <is>
          <t xml:space="preserve">CR ≤ 0,10</t>
        </is>
      </c>
      <c r="K20" s="10" t="str">
        <f>IF(I20&lt;=0.1,"OK","ПРОВЕРИТЬ")</f>
        <v>OK</v>
      </c>
    </row>
    <row r="28" ht="27" customHeight="1">
      <c r="A28" s="2" t="inlineStr">
        <is>
          <t xml:space="preserve">Этап 2. K1 — Практическая значимость | Benefit</t>
        </is>
      </c>
    </row>
    <row r="29">
      <c r="A29" s="3" t="inlineStr">
        <is>
          <t xml:space="preserve">Элемент</t>
        </is>
      </c>
      <c r="B29" s="3" t="inlineStr">
        <is>
          <t xml:space="preserve">A1</t>
        </is>
      </c>
      <c r="C29" s="3" t="inlineStr">
        <is>
          <t xml:space="preserve">A2</t>
        </is>
      </c>
      <c r="D29" s="3" t="inlineStr">
        <is>
          <t xml:space="preserve">A3</t>
        </is>
      </c>
      <c r="E29" s="3" t="inlineStr">
        <is>
          <t xml:space="preserve">A4</t>
        </is>
      </c>
      <c r="I29" s="3" t="inlineStr">
        <is>
          <t xml:space="preserve">Средн. геом.</t>
        </is>
      </c>
      <c r="J29" s="3" t="inlineStr">
        <is>
          <t xml:space="preserve">Приоритет</t>
        </is>
      </c>
      <c r="K29" s="3" t="inlineStr">
        <is>
          <t xml:space="preserve">λᵢ</t>
        </is>
      </c>
    </row>
    <row r="30">
      <c r="A30" s="7" t="inlineStr">
        <is>
          <t xml:space="preserve">A1</t>
        </is>
      </c>
      <c r="B30" s="8">
        <v>1</v>
      </c>
      <c r="C30" s="5">
        <v>0.5</v>
      </c>
      <c r="D30" s="5">
        <v>0.5</v>
      </c>
      <c r="E30" s="5">
        <v>2</v>
      </c>
      <c r="I30" s="4">
        <f>PRODUCT(B30:E30)^(1/4)</f>
        <v>0.8408964152537145</v>
      </c>
      <c r="J30" s="4">
        <f>I30/SUM($I$30:$I$33)</f>
        <v>0.18868744408718802</v>
      </c>
      <c r="K30" s="8">
        <f>(B30*$J$30+C30*$J$31+D30*$J$32+E30*$J$33)/J30</f>
        <v>4.015910256583451</v>
      </c>
    </row>
    <row r="31">
      <c r="A31" s="7" t="inlineStr">
        <is>
          <t xml:space="preserve">A2</t>
        </is>
      </c>
      <c r="B31" s="8">
        <f>1/C30</f>
        <v>2</v>
      </c>
      <c r="C31" s="8">
        <v>1</v>
      </c>
      <c r="D31" s="5">
        <v>1</v>
      </c>
      <c r="E31" s="5">
        <v>3</v>
      </c>
      <c r="I31" s="4">
        <f>PRODUCT(B31:E31)^(1/4)</f>
        <v>1.5650845800732873</v>
      </c>
      <c r="J31" s="4">
        <f>I31/SUM($I$30:$I$33)</f>
        <v>0.3511869046381858</v>
      </c>
      <c r="K31" s="8">
        <f>(B31*$J$30+C31*$J$31+D31*$J$32+E31*$J$33)/J31</f>
        <v>4.005174790925642</v>
      </c>
    </row>
    <row r="32">
      <c r="A32" s="7" t="inlineStr">
        <is>
          <t xml:space="preserve">A3</t>
        </is>
      </c>
      <c r="B32" s="8">
        <f>1/D30</f>
        <v>2</v>
      </c>
      <c r="C32" s="8">
        <f>1/D31</f>
        <v>1</v>
      </c>
      <c r="D32" s="8">
        <v>1</v>
      </c>
      <c r="E32" s="5">
        <v>3</v>
      </c>
      <c r="I32" s="4">
        <f>PRODUCT(B32:E32)^(1/4)</f>
        <v>1.5650845800732873</v>
      </c>
      <c r="J32" s="4">
        <f>I32/SUM($I$30:$I$33)</f>
        <v>0.3511869046381858</v>
      </c>
      <c r="K32" s="8">
        <f>(B32*$J$30+C32*$J$31+D32*$J$32+E32*$J$33)/J32</f>
        <v>4.005174790925642</v>
      </c>
    </row>
    <row r="33">
      <c r="A33" s="7" t="inlineStr">
        <is>
          <t xml:space="preserve">A4</t>
        </is>
      </c>
      <c r="B33" s="8">
        <f>1/E30</f>
        <v>0.5</v>
      </c>
      <c r="C33" s="8">
        <f>1/E31</f>
        <v>0.3333333333333333</v>
      </c>
      <c r="D33" s="8">
        <f>1/E32</f>
        <v>0.3333333333333333</v>
      </c>
      <c r="E33" s="8">
        <v>1</v>
      </c>
      <c r="I33" s="4">
        <f>PRODUCT(B33:E33)^(1/4)</f>
        <v>0.48549177170732344</v>
      </c>
      <c r="J33" s="4">
        <f>I33/SUM($I$30:$I$33)</f>
        <v>0.10893874663644047</v>
      </c>
      <c r="K33" s="8">
        <f>(B33*$J$30+C33*$J$31+D33*$J$32+E33*$J$33)/J33</f>
        <v>4.015165267431523</v>
      </c>
    </row>
    <row r="35">
      <c r="H35" s="7" t="inlineStr">
        <is>
          <t xml:space="preserve">λmax</t>
        </is>
      </c>
      <c r="I35" s="8">
        <f>AVERAGE(K30:K33)</f>
        <v>4.010356276466564</v>
      </c>
    </row>
    <row r="36">
      <c r="H36" s="7" t="inlineStr">
        <is>
          <t xml:space="preserve">CI</t>
        </is>
      </c>
      <c r="I36" s="8">
        <f>MAX(0,(I35-4)/(4-1))</f>
        <v>0.0034520921555213726</v>
      </c>
    </row>
    <row r="37">
      <c r="H37" s="7" t="inlineStr">
        <is>
          <t xml:space="preserve">RI</t>
        </is>
      </c>
      <c r="I37" s="8">
        <v>0.9</v>
      </c>
    </row>
    <row r="38">
      <c r="H38" s="7" t="inlineStr">
        <is>
          <t xml:space="preserve">CR</t>
        </is>
      </c>
      <c r="I38" s="8">
        <f>I36/I37</f>
        <v>0.003835657950579303</v>
      </c>
      <c r="J38" s="7" t="inlineStr">
        <is>
          <t xml:space="preserve">CR ≤ 0,10</t>
        </is>
      </c>
      <c r="K38" s="10" t="str">
        <f>IF(I38&lt;=0.1,"OK","ПРОВЕРИТЬ")</f>
        <v>OK</v>
      </c>
    </row>
    <row r="43" ht="27" customHeight="1">
      <c r="A43" s="2" t="inlineStr">
        <is>
          <t xml:space="preserve">Этап 3. K2 — Функциональная содержательность | Benefit</t>
        </is>
      </c>
    </row>
    <row r="44">
      <c r="A44" s="3" t="inlineStr">
        <is>
          <t xml:space="preserve">Элемент</t>
        </is>
      </c>
      <c r="B44" s="3" t="inlineStr">
        <is>
          <t xml:space="preserve">A1</t>
        </is>
      </c>
      <c r="C44" s="3" t="inlineStr">
        <is>
          <t xml:space="preserve">A2</t>
        </is>
      </c>
      <c r="D44" s="3" t="inlineStr">
        <is>
          <t xml:space="preserve">A3</t>
        </is>
      </c>
      <c r="E44" s="3" t="inlineStr">
        <is>
          <t xml:space="preserve">A4</t>
        </is>
      </c>
      <c r="I44" s="3" t="inlineStr">
        <is>
          <t xml:space="preserve">Средн. геом.</t>
        </is>
      </c>
      <c r="J44" s="3" t="inlineStr">
        <is>
          <t xml:space="preserve">Приоритет</t>
        </is>
      </c>
      <c r="K44" s="3" t="inlineStr">
        <is>
          <t xml:space="preserve">λᵢ</t>
        </is>
      </c>
    </row>
    <row r="45">
      <c r="A45" s="7" t="inlineStr">
        <is>
          <t xml:space="preserve">A1</t>
        </is>
      </c>
      <c r="B45" s="8">
        <v>1</v>
      </c>
      <c r="C45" s="5">
        <v>0.5</v>
      </c>
      <c r="D45" s="5">
        <v>0.5</v>
      </c>
      <c r="E45" s="5">
        <v>3</v>
      </c>
      <c r="I45" s="4">
        <f>PRODUCT(B45:E45)^(1/4)</f>
        <v>0.9306048591020997</v>
      </c>
      <c r="J45" s="4">
        <f>I45/SUM($I$45:$I$48)</f>
        <v>0.19909783574555462</v>
      </c>
      <c r="K45" s="8">
        <f>(B45*$J$45+C45*$J$46+D45*$J$47+E45*$J$48)/J45</f>
        <v>4.031948878611278</v>
      </c>
    </row>
    <row r="46">
      <c r="A46" s="7" t="inlineStr">
        <is>
          <t xml:space="preserve">A2</t>
        </is>
      </c>
      <c r="B46" s="8">
        <f>1/C45</f>
        <v>2</v>
      </c>
      <c r="C46" s="8">
        <v>1</v>
      </c>
      <c r="D46" s="5">
        <v>1</v>
      </c>
      <c r="E46" s="5">
        <v>4</v>
      </c>
      <c r="I46" s="4">
        <f>PRODUCT(B46:E46)^(1/4)</f>
        <v>1.681792830507429</v>
      </c>
      <c r="J46" s="4">
        <f>I46/SUM($I$45:$I$48)</f>
        <v>0.3598104065881338</v>
      </c>
      <c r="K46" s="8">
        <f>(B46*$J$45+C46*$J$46+D46*$J$47+E46*$J$48)/J46</f>
        <v>4.010283923310167</v>
      </c>
    </row>
    <row r="47">
      <c r="A47" s="7" t="inlineStr">
        <is>
          <t xml:space="preserve">A3</t>
        </is>
      </c>
      <c r="B47" s="8">
        <f>1/D45</f>
        <v>2</v>
      </c>
      <c r="C47" s="8">
        <f>1/D46</f>
        <v>1</v>
      </c>
      <c r="D47" s="8">
        <v>1</v>
      </c>
      <c r="E47" s="5">
        <v>4</v>
      </c>
      <c r="I47" s="4">
        <f>PRODUCT(B47:E47)^(1/4)</f>
        <v>1.681792830507429</v>
      </c>
      <c r="J47" s="4">
        <f>I47/SUM($I$45:$I$48)</f>
        <v>0.3598104065881338</v>
      </c>
      <c r="K47" s="8">
        <f>(B47*$J$45+C47*$J$46+D47*$J$47+E47*$J$48)/J47</f>
        <v>4.010283923310167</v>
      </c>
    </row>
    <row r="48">
      <c r="A48" s="7" t="inlineStr">
        <is>
          <t xml:space="preserve">A4</t>
        </is>
      </c>
      <c r="B48" s="8">
        <f>1/E45</f>
        <v>0.3333333333333333</v>
      </c>
      <c r="C48" s="8">
        <f>1/E46</f>
        <v>0.25</v>
      </c>
      <c r="D48" s="8">
        <f>1/E47</f>
        <v>0.25</v>
      </c>
      <c r="E48" s="8">
        <v>1</v>
      </c>
      <c r="I48" s="4">
        <f>PRODUCT(B48:E48)^(1/4)</f>
        <v>0.37991784282579627</v>
      </c>
      <c r="J48" s="4">
        <f>I48/SUM($I$45:$I$48)</f>
        <v>0.08128135107817766</v>
      </c>
      <c r="K48" s="8">
        <f>(B48*$J$45+C48*$J$46+D48*$J$47+E48*$J$48)/J48</f>
        <v>4.029860420328369</v>
      </c>
    </row>
    <row r="50">
      <c r="H50" s="7" t="inlineStr">
        <is>
          <t xml:space="preserve">λmax</t>
        </is>
      </c>
      <c r="I50" s="8">
        <f>AVERAGE(K45:K48)</f>
        <v>4.020594286389995</v>
      </c>
    </row>
    <row r="51">
      <c r="H51" s="7" t="inlineStr">
        <is>
          <t xml:space="preserve">CI</t>
        </is>
      </c>
      <c r="I51" s="8">
        <f>MAX(0,(I50-4)/(4-1))</f>
        <v>0.006864762129998425</v>
      </c>
    </row>
    <row r="52">
      <c r="H52" s="7" t="inlineStr">
        <is>
          <t xml:space="preserve">RI</t>
        </is>
      </c>
      <c r="I52" s="8">
        <v>0.9</v>
      </c>
    </row>
    <row r="53">
      <c r="H53" s="7" t="inlineStr">
        <is>
          <t xml:space="preserve">CR</t>
        </is>
      </c>
      <c r="I53" s="8">
        <f>I51/I52</f>
        <v>0.007627513477776028</v>
      </c>
      <c r="J53" s="7" t="inlineStr">
        <is>
          <t xml:space="preserve">CR ≤ 0,10</t>
        </is>
      </c>
      <c r="K53" s="10" t="str">
        <f>IF(I53&lt;=0.1,"OK","ПРОВЕРИТЬ")</f>
        <v>OK</v>
      </c>
    </row>
    <row r="58" ht="27" customHeight="1">
      <c r="A58" s="2" t="inlineStr">
        <is>
          <t xml:space="preserve">Этап 4. K3 — Потенциал интеграции и развития | Benefit</t>
        </is>
      </c>
    </row>
    <row r="59">
      <c r="A59" s="3" t="inlineStr">
        <is>
          <t xml:space="preserve">Элемент</t>
        </is>
      </c>
      <c r="B59" s="3" t="inlineStr">
        <is>
          <t xml:space="preserve">A1</t>
        </is>
      </c>
      <c r="C59" s="3" t="inlineStr">
        <is>
          <t xml:space="preserve">A2</t>
        </is>
      </c>
      <c r="D59" s="3" t="inlineStr">
        <is>
          <t xml:space="preserve">A3</t>
        </is>
      </c>
      <c r="E59" s="3" t="inlineStr">
        <is>
          <t xml:space="preserve">A4</t>
        </is>
      </c>
      <c r="I59" s="3" t="inlineStr">
        <is>
          <t xml:space="preserve">Средн. геом.</t>
        </is>
      </c>
      <c r="J59" s="3" t="inlineStr">
        <is>
          <t xml:space="preserve">Приоритет</t>
        </is>
      </c>
      <c r="K59" s="3" t="inlineStr">
        <is>
          <t xml:space="preserve">λᵢ</t>
        </is>
      </c>
    </row>
    <row r="60">
      <c r="A60" s="7" t="inlineStr">
        <is>
          <t xml:space="preserve">A1</t>
        </is>
      </c>
      <c r="B60" s="8">
        <v>1</v>
      </c>
      <c r="C60" s="5">
        <v>0.3333333333333333</v>
      </c>
      <c r="D60" s="5">
        <v>0.3333333333333333</v>
      </c>
      <c r="E60" s="5">
        <v>2</v>
      </c>
      <c r="I60" s="4">
        <f>PRODUCT(B60:E60)^(1/4)</f>
        <v>0.6865890479690392</v>
      </c>
      <c r="J60" s="4">
        <f>I60/SUM($I$60:$I$63)</f>
        <v>0.14216693341629175</v>
      </c>
      <c r="K60" s="8">
        <f>(B60*$J$60+C60*$J$61+D60*$J$62+E60*$J$63)/J60</f>
        <v>4.031948878611279</v>
      </c>
    </row>
    <row r="61">
      <c r="A61" s="7" t="inlineStr">
        <is>
          <t xml:space="preserve">A2</t>
        </is>
      </c>
      <c r="B61" s="8">
        <f>1/C60</f>
        <v>3</v>
      </c>
      <c r="C61" s="8">
        <v>1</v>
      </c>
      <c r="D61" s="5">
        <v>1</v>
      </c>
      <c r="E61" s="5">
        <v>4</v>
      </c>
      <c r="I61" s="4">
        <f>PRODUCT(B61:E61)^(1/4)</f>
        <v>1.8612097182041991</v>
      </c>
      <c r="J61" s="4">
        <f>I61/SUM($I$60:$I$63)</f>
        <v>0.38538697764608587</v>
      </c>
      <c r="K61" s="8">
        <f>(B61*$J$60+C61*$J$61+D61*$J$62+E61*$J$63)/J61</f>
        <v>4.010283923310166</v>
      </c>
    </row>
    <row r="62">
      <c r="A62" s="7" t="inlineStr">
        <is>
          <t xml:space="preserve">A3</t>
        </is>
      </c>
      <c r="B62" s="8">
        <f>1/D60</f>
        <v>3</v>
      </c>
      <c r="C62" s="8">
        <f>1/D61</f>
        <v>1</v>
      </c>
      <c r="D62" s="8">
        <v>1</v>
      </c>
      <c r="E62" s="5">
        <v>4</v>
      </c>
      <c r="I62" s="4">
        <f>PRODUCT(B62:E62)^(1/4)</f>
        <v>1.8612097182041991</v>
      </c>
      <c r="J62" s="4">
        <f>I62/SUM($I$60:$I$63)</f>
        <v>0.38538697764608587</v>
      </c>
      <c r="K62" s="8">
        <f>(B62*$J$60+C62*$J$61+D62*$J$62+E62*$J$63)/J62</f>
        <v>4.010283923310166</v>
      </c>
    </row>
    <row r="63">
      <c r="A63" s="7" t="inlineStr">
        <is>
          <t xml:space="preserve">A4</t>
        </is>
      </c>
      <c r="B63" s="8">
        <f>1/E60</f>
        <v>0.5</v>
      </c>
      <c r="C63" s="8">
        <f>1/E61</f>
        <v>0.25</v>
      </c>
      <c r="D63" s="8">
        <f>1/E62</f>
        <v>0.25</v>
      </c>
      <c r="E63" s="8">
        <v>1</v>
      </c>
      <c r="I63" s="4">
        <f>PRODUCT(B63:E63)^(1/4)</f>
        <v>0.4204482076268573</v>
      </c>
      <c r="J63" s="4">
        <f>I63/SUM($I$60:$I$63)</f>
        <v>0.08705911129153643</v>
      </c>
      <c r="K63" s="8">
        <f>(B63*$J$60+C63*$J$61+D63*$J$62+E63*$J$63)/J63</f>
        <v>4.029860420328369</v>
      </c>
    </row>
    <row r="65">
      <c r="H65" s="7" t="inlineStr">
        <is>
          <t xml:space="preserve">λmax</t>
        </is>
      </c>
      <c r="I65" s="8">
        <f>AVERAGE(K60:K63)</f>
        <v>4.020594286389995</v>
      </c>
    </row>
    <row r="66">
      <c r="H66" s="7" t="inlineStr">
        <is>
          <t xml:space="preserve">CI</t>
        </is>
      </c>
      <c r="I66" s="8">
        <f>MAX(0,(I65-4)/(4-1))</f>
        <v>0.006864762129998425</v>
      </c>
    </row>
    <row r="67">
      <c r="H67" s="7" t="inlineStr">
        <is>
          <t xml:space="preserve">RI</t>
        </is>
      </c>
      <c r="I67" s="8">
        <v>0.9</v>
      </c>
    </row>
    <row r="68">
      <c r="H68" s="7" t="inlineStr">
        <is>
          <t xml:space="preserve">CR</t>
        </is>
      </c>
      <c r="I68" s="8">
        <f>I66/I67</f>
        <v>0.007627513477776028</v>
      </c>
      <c r="J68" s="7" t="inlineStr">
        <is>
          <t xml:space="preserve">CR ≤ 0,10</t>
        </is>
      </c>
      <c r="K68" s="10" t="str">
        <f>IF(I68&lt;=0.1,"OK","ПРОВЕРИТЬ")</f>
        <v>OK</v>
      </c>
    </row>
    <row r="73" ht="27" customHeight="1">
      <c r="A73" s="2" t="inlineStr">
        <is>
          <t xml:space="preserve">Этап 5. K4 — Демонстрационная и исследовательская ценность | Benefit</t>
        </is>
      </c>
    </row>
    <row r="74">
      <c r="A74" s="3" t="inlineStr">
        <is>
          <t xml:space="preserve">Элемент</t>
        </is>
      </c>
      <c r="B74" s="3" t="inlineStr">
        <is>
          <t xml:space="preserve">A1</t>
        </is>
      </c>
      <c r="C74" s="3" t="inlineStr">
        <is>
          <t xml:space="preserve">A2</t>
        </is>
      </c>
      <c r="D74" s="3" t="inlineStr">
        <is>
          <t xml:space="preserve">A3</t>
        </is>
      </c>
      <c r="E74" s="3" t="inlineStr">
        <is>
          <t xml:space="preserve">A4</t>
        </is>
      </c>
      <c r="I74" s="3" t="inlineStr">
        <is>
          <t xml:space="preserve">Средн. геом.</t>
        </is>
      </c>
      <c r="J74" s="3" t="inlineStr">
        <is>
          <t xml:space="preserve">Приоритет</t>
        </is>
      </c>
      <c r="K74" s="3" t="inlineStr">
        <is>
          <t xml:space="preserve">λᵢ</t>
        </is>
      </c>
    </row>
    <row r="75">
      <c r="A75" s="7" t="inlineStr">
        <is>
          <t xml:space="preserve">A1</t>
        </is>
      </c>
      <c r="B75" s="8">
        <v>1</v>
      </c>
      <c r="C75" s="5">
        <v>2</v>
      </c>
      <c r="D75" s="5">
        <v>2</v>
      </c>
      <c r="E75" s="5">
        <v>3</v>
      </c>
      <c r="I75" s="4">
        <f>PRODUCT(B75:E75)^(1/4)</f>
        <v>1.8612097182041991</v>
      </c>
      <c r="J75" s="4">
        <f>I75/SUM($I$75:$I$78)</f>
        <v>0.4231469745605192</v>
      </c>
      <c r="K75" s="8">
        <f>(B75*$J$75+C75*$J$76+D75*$J$77+E75*$J$78)/J75</f>
        <v>4.015165267431523</v>
      </c>
    </row>
    <row r="76">
      <c r="A76" s="7" t="inlineStr">
        <is>
          <t xml:space="preserve">A2</t>
        </is>
      </c>
      <c r="B76" s="8">
        <f>1/C75</f>
        <v>0.5</v>
      </c>
      <c r="C76" s="8">
        <v>1</v>
      </c>
      <c r="D76" s="5">
        <v>1</v>
      </c>
      <c r="E76" s="5">
        <v>2</v>
      </c>
      <c r="I76" s="4">
        <f>PRODUCT(B76:E76)^(1/4)</f>
        <v>1</v>
      </c>
      <c r="J76" s="4">
        <f>I76/SUM($I$75:$I$78)</f>
        <v>0.22735050780241758</v>
      </c>
      <c r="K76" s="8">
        <f>(B76*$J$75+C76*$J$76+D76*$J$77+E76*$J$78)/J76</f>
        <v>4.005174790925642</v>
      </c>
    </row>
    <row r="77">
      <c r="A77" s="7" t="inlineStr">
        <is>
          <t xml:space="preserve">A3</t>
        </is>
      </c>
      <c r="B77" s="8">
        <f>1/D75</f>
        <v>0.5</v>
      </c>
      <c r="C77" s="8">
        <f>1/D76</f>
        <v>1</v>
      </c>
      <c r="D77" s="8">
        <v>1</v>
      </c>
      <c r="E77" s="5">
        <v>2</v>
      </c>
      <c r="I77" s="4">
        <f>PRODUCT(B77:E77)^(1/4)</f>
        <v>1</v>
      </c>
      <c r="J77" s="4">
        <f>I77/SUM($I$75:$I$78)</f>
        <v>0.22735050780241758</v>
      </c>
      <c r="K77" s="8">
        <f>(B77*$J$75+C77*$J$76+D77*$J$77+E77*$J$78)/J77</f>
        <v>4.005174790925642</v>
      </c>
    </row>
    <row r="78">
      <c r="A78" s="7" t="inlineStr">
        <is>
          <t xml:space="preserve">A4</t>
        </is>
      </c>
      <c r="B78" s="8">
        <f>1/E75</f>
        <v>0.3333333333333333</v>
      </c>
      <c r="C78" s="8">
        <f>1/E76</f>
        <v>0.5</v>
      </c>
      <c r="D78" s="8">
        <f>1/E77</f>
        <v>0.5</v>
      </c>
      <c r="E78" s="8">
        <v>1</v>
      </c>
      <c r="I78" s="4">
        <f>PRODUCT(B78:E78)^(1/4)</f>
        <v>0.537284965911771</v>
      </c>
      <c r="J78" s="4">
        <f>I78/SUM($I$75:$I$78)</f>
        <v>0.12215200983464576</v>
      </c>
      <c r="K78" s="8">
        <f>(B78*$J$75+C78*$J$76+D78*$J$77+E78*$J$78)/J78</f>
        <v>4.01591025658345</v>
      </c>
    </row>
    <row r="80">
      <c r="H80" s="7" t="inlineStr">
        <is>
          <t xml:space="preserve">λmax</t>
        </is>
      </c>
      <c r="I80" s="8">
        <f>AVERAGE(K75:K78)</f>
        <v>4.010356276466564</v>
      </c>
    </row>
    <row r="81">
      <c r="H81" s="7" t="inlineStr">
        <is>
          <t xml:space="preserve">CI</t>
        </is>
      </c>
      <c r="I81" s="8">
        <f>MAX(0,(I80-4)/(4-1))</f>
        <v>0.0034520921555213726</v>
      </c>
    </row>
    <row r="82">
      <c r="H82" s="7" t="inlineStr">
        <is>
          <t xml:space="preserve">RI</t>
        </is>
      </c>
      <c r="I82" s="8">
        <v>0.9</v>
      </c>
    </row>
    <row r="83">
      <c r="H83" s="7" t="inlineStr">
        <is>
          <t xml:space="preserve">CR</t>
        </is>
      </c>
      <c r="I83" s="8">
        <f>I81/I82</f>
        <v>0.003835657950579303</v>
      </c>
      <c r="J83" s="7" t="inlineStr">
        <is>
          <t xml:space="preserve">CR ≤ 0,10</t>
        </is>
      </c>
      <c r="K83" s="10" t="str">
        <f>IF(I83&lt;=0.1,"OK","ПРОВЕРИТЬ")</f>
        <v>OK</v>
      </c>
    </row>
    <row r="88" ht="27" customHeight="1">
      <c r="A88" s="2" t="inlineStr">
        <is>
          <t xml:space="preserve">Этап 6. K5 — Трудоёмкость реализации MVP | Cost</t>
        </is>
      </c>
    </row>
    <row r="89">
      <c r="A89" s="3" t="inlineStr">
        <is>
          <t xml:space="preserve">Элемент</t>
        </is>
      </c>
      <c r="B89" s="3" t="inlineStr">
        <is>
          <t xml:space="preserve">A1</t>
        </is>
      </c>
      <c r="C89" s="3" t="inlineStr">
        <is>
          <t xml:space="preserve">A2</t>
        </is>
      </c>
      <c r="D89" s="3" t="inlineStr">
        <is>
          <t xml:space="preserve">A3</t>
        </is>
      </c>
      <c r="E89" s="3" t="inlineStr">
        <is>
          <t xml:space="preserve">A4</t>
        </is>
      </c>
      <c r="I89" s="3" t="inlineStr">
        <is>
          <t xml:space="preserve">Средн. геом.</t>
        </is>
      </c>
      <c r="J89" s="3" t="inlineStr">
        <is>
          <t xml:space="preserve">Приоритет</t>
        </is>
      </c>
      <c r="K89" s="3" t="inlineStr">
        <is>
          <t xml:space="preserve">λᵢ</t>
        </is>
      </c>
    </row>
    <row r="90">
      <c r="A90" s="7" t="inlineStr">
        <is>
          <t xml:space="preserve">A1</t>
        </is>
      </c>
      <c r="B90" s="8">
        <v>1</v>
      </c>
      <c r="C90" s="5">
        <v>4</v>
      </c>
      <c r="D90" s="5">
        <v>3</v>
      </c>
      <c r="E90" s="5">
        <v>0.3333333333333333</v>
      </c>
      <c r="I90" s="4">
        <f>PRODUCT(B90:E90)^(1/4)</f>
        <v>1.414213562373095</v>
      </c>
      <c r="J90" s="4">
        <f>I90/SUM($I$90:$I$93)</f>
        <v>0.2581399211849867</v>
      </c>
      <c r="K90" s="8">
        <f>(B90*$J$90+C90*$J$91+D90*$J$92+E90*$J$93)/J90</f>
        <v>4.082410480127721</v>
      </c>
    </row>
    <row r="91">
      <c r="A91" s="7" t="inlineStr">
        <is>
          <t xml:space="preserve">A2</t>
        </is>
      </c>
      <c r="B91" s="8">
        <f>1/C90</f>
        <v>0.25</v>
      </c>
      <c r="C91" s="8">
        <v>1</v>
      </c>
      <c r="D91" s="5">
        <v>0.5</v>
      </c>
      <c r="E91" s="5">
        <v>0.16666666666666666</v>
      </c>
      <c r="I91" s="4">
        <f>PRODUCT(B91:E91)^(1/4)</f>
        <v>0.37991784282579627</v>
      </c>
      <c r="J91" s="4">
        <f>I91/SUM($I$90:$I$93)</f>
        <v>0.06934734937717141</v>
      </c>
      <c r="K91" s="8">
        <f>(B91*$J$90+C91*$J$91+D91*$J$92+E91*$J$93)/J91</f>
        <v>4.077075742676184</v>
      </c>
    </row>
    <row r="92">
      <c r="A92" s="7" t="inlineStr">
        <is>
          <t xml:space="preserve">A3</t>
        </is>
      </c>
      <c r="B92" s="8">
        <f>1/D90</f>
        <v>0.3333333333333333</v>
      </c>
      <c r="C92" s="8">
        <f>1/D91</f>
        <v>2</v>
      </c>
      <c r="D92" s="8">
        <v>1</v>
      </c>
      <c r="E92" s="5">
        <v>0.2</v>
      </c>
      <c r="I92" s="4">
        <f>PRODUCT(B92:E92)^(1/4)</f>
        <v>0.6042750794713536</v>
      </c>
      <c r="J92" s="4">
        <f>I92/SUM($I$90:$I$93)</f>
        <v>0.11029983415449277</v>
      </c>
      <c r="K92" s="8">
        <f>(B92*$J$90+C92*$J$91+D92*$J$92+E92*$J$93)/J92</f>
        <v>4.056975749698114</v>
      </c>
    </row>
    <row r="93">
      <c r="A93" s="7" t="inlineStr">
        <is>
          <t xml:space="preserve">A4</t>
        </is>
      </c>
      <c r="B93" s="8">
        <f>1/E90</f>
        <v>3</v>
      </c>
      <c r="C93" s="8">
        <f>1/E91</f>
        <v>6</v>
      </c>
      <c r="D93" s="8">
        <f>1/E92</f>
        <v>5</v>
      </c>
      <c r="E93" s="8">
        <v>1</v>
      </c>
      <c r="I93" s="4">
        <f>PRODUCT(B93:E93)^(1/4)</f>
        <v>3.0800702882410227</v>
      </c>
      <c r="J93" s="4">
        <f>I93/SUM($I$90:$I$93)</f>
        <v>0.5622128952833491</v>
      </c>
      <c r="K93" s="8">
        <f>(B93*$J$90+C93*$J$91+D93*$J$92+E93*$J$93)/J93</f>
        <v>4.098475764616715</v>
      </c>
    </row>
    <row r="95">
      <c r="H95" s="7" t="inlineStr">
        <is>
          <t xml:space="preserve">λmax</t>
        </is>
      </c>
      <c r="I95" s="8">
        <f>AVERAGE(K90:K93)</f>
        <v>4.078734434279684</v>
      </c>
    </row>
    <row r="96">
      <c r="H96" s="7" t="inlineStr">
        <is>
          <t xml:space="preserve">CI</t>
        </is>
      </c>
      <c r="I96" s="8">
        <f>MAX(0,(I95-4)/(4-1))</f>
        <v>0.02624481142656136</v>
      </c>
    </row>
    <row r="97">
      <c r="H97" s="7" t="inlineStr">
        <is>
          <t xml:space="preserve">RI</t>
        </is>
      </c>
      <c r="I97" s="8">
        <v>0.9</v>
      </c>
    </row>
    <row r="98">
      <c r="H98" s="7" t="inlineStr">
        <is>
          <t xml:space="preserve">CR</t>
        </is>
      </c>
      <c r="I98" s="8">
        <f>I96/I97</f>
        <v>0.029160901585068177</v>
      </c>
      <c r="J98" s="7" t="inlineStr">
        <is>
          <t xml:space="preserve">CR ≤ 0,10</t>
        </is>
      </c>
      <c r="K98" s="10" t="str">
        <f>IF(I98&lt;=0.1,"OK","ПРОВЕРИТЬ")</f>
        <v>OK</v>
      </c>
    </row>
    <row r="103" ht="27" customHeight="1">
      <c r="A103" s="2" t="inlineStr">
        <is>
          <t xml:space="preserve">Этап 7. K6 — Внешние зависимости MVP | Cost</t>
        </is>
      </c>
    </row>
    <row r="104">
      <c r="A104" s="3" t="inlineStr">
        <is>
          <t xml:space="preserve">Элемент</t>
        </is>
      </c>
      <c r="B104" s="3" t="inlineStr">
        <is>
          <t xml:space="preserve">A1</t>
        </is>
      </c>
      <c r="C104" s="3" t="inlineStr">
        <is>
          <t xml:space="preserve">A2</t>
        </is>
      </c>
      <c r="D104" s="3" t="inlineStr">
        <is>
          <t xml:space="preserve">A3</t>
        </is>
      </c>
      <c r="E104" s="3" t="inlineStr">
        <is>
          <t xml:space="preserve">A4</t>
        </is>
      </c>
      <c r="I104" s="3" t="inlineStr">
        <is>
          <t xml:space="preserve">Средн. геом.</t>
        </is>
      </c>
      <c r="J104" s="3" t="inlineStr">
        <is>
          <t xml:space="preserve">Приоритет</t>
        </is>
      </c>
      <c r="K104" s="3" t="inlineStr">
        <is>
          <t xml:space="preserve">λᵢ</t>
        </is>
      </c>
    </row>
    <row r="105">
      <c r="A105" s="7" t="inlineStr">
        <is>
          <t xml:space="preserve">A1</t>
        </is>
      </c>
      <c r="B105" s="8">
        <v>1</v>
      </c>
      <c r="C105" s="5">
        <v>4</v>
      </c>
      <c r="D105" s="5">
        <v>3</v>
      </c>
      <c r="E105" s="5">
        <v>0.5</v>
      </c>
      <c r="I105" s="4">
        <f>PRODUCT(B105:E105)^(1/4)</f>
        <v>1.5650845800732873</v>
      </c>
      <c r="J105" s="4">
        <f>I105/SUM($I$105:$I$108)</f>
        <v>0.3058878982814293</v>
      </c>
      <c r="K105" s="8">
        <f>(B105*$J$105+C105*$J$106+D105*$J$107+E105*$J$108)/J105</f>
        <v>4.04443878664547</v>
      </c>
    </row>
    <row r="106">
      <c r="A106" s="7" t="inlineStr">
        <is>
          <t xml:space="preserve">A2</t>
        </is>
      </c>
      <c r="B106" s="8">
        <f>1/C105</f>
        <v>0.25</v>
      </c>
      <c r="C106" s="8">
        <v>1</v>
      </c>
      <c r="D106" s="5">
        <v>0.5</v>
      </c>
      <c r="E106" s="5">
        <v>0.2</v>
      </c>
      <c r="I106" s="4">
        <f>PRODUCT(B106:E106)^(1/4)</f>
        <v>0.39763536438352537</v>
      </c>
      <c r="J106" s="4">
        <f>I106/SUM($I$105:$I$108)</f>
        <v>0.07771582919049097</v>
      </c>
      <c r="K106" s="8">
        <f>(B106*$J$105+C106*$J$106+D106*$J$107+E106*$J$108)/J106</f>
        <v>4.052334318644718</v>
      </c>
    </row>
    <row r="107">
      <c r="A107" s="7" t="inlineStr">
        <is>
          <t xml:space="preserve">A3</t>
        </is>
      </c>
      <c r="B107" s="8">
        <f>1/D105</f>
        <v>0.3333333333333333</v>
      </c>
      <c r="C107" s="8">
        <f>1/D106</f>
        <v>2</v>
      </c>
      <c r="D107" s="8">
        <v>1</v>
      </c>
      <c r="E107" s="5">
        <v>0.25</v>
      </c>
      <c r="I107" s="4">
        <f>PRODUCT(B107:E107)^(1/4)</f>
        <v>0.6389431042462724</v>
      </c>
      <c r="J107" s="4">
        <f>I107/SUM($I$105:$I$108)</f>
        <v>0.12487821154697752</v>
      </c>
      <c r="K107" s="8">
        <f>(B107*$J$105+C107*$J$106+D107*$J$107+E107*$J$108)/J107</f>
        <v>4.045157371137399</v>
      </c>
    </row>
    <row r="108">
      <c r="A108" s="7" t="inlineStr">
        <is>
          <t xml:space="preserve">A4</t>
        </is>
      </c>
      <c r="B108" s="8">
        <f>1/E105</f>
        <v>2</v>
      </c>
      <c r="C108" s="8">
        <f>1/E106</f>
        <v>5</v>
      </c>
      <c r="D108" s="8">
        <f>1/E107</f>
        <v>4</v>
      </c>
      <c r="E108" s="8">
        <v>1</v>
      </c>
      <c r="I108" s="4">
        <f>PRODUCT(B108:E108)^(1/4)</f>
        <v>2.5148668593658705</v>
      </c>
      <c r="J108" s="4">
        <f>I108/SUM($I$105:$I$108)</f>
        <v>0.49151806098110234</v>
      </c>
      <c r="K108" s="8">
        <f>(B108*$J$105+C108*$J$106+D108*$J$107+E108*$J$108)/J108</f>
        <v>4.051500865928281</v>
      </c>
    </row>
    <row r="110">
      <c r="H110" s="7" t="inlineStr">
        <is>
          <t xml:space="preserve">λmax</t>
        </is>
      </c>
      <c r="I110" s="8">
        <f>AVERAGE(K105:K108)</f>
        <v>4.048357835588966</v>
      </c>
    </row>
    <row r="111">
      <c r="H111" s="7" t="inlineStr">
        <is>
          <t xml:space="preserve">CI</t>
        </is>
      </c>
      <c r="I111" s="8">
        <f>MAX(0,(I110-4)/(4-1))</f>
        <v>0.016119278529655407</v>
      </c>
    </row>
    <row r="112">
      <c r="H112" s="7" t="inlineStr">
        <is>
          <t xml:space="preserve">RI</t>
        </is>
      </c>
      <c r="I112" s="8">
        <v>0.9</v>
      </c>
    </row>
    <row r="113">
      <c r="H113" s="7" t="inlineStr">
        <is>
          <t xml:space="preserve">CR</t>
        </is>
      </c>
      <c r="I113" s="8">
        <f>I111/I112</f>
        <v>0.017910309477394897</v>
      </c>
      <c r="J113" s="7" t="inlineStr">
        <is>
          <t xml:space="preserve">CR ≤ 0,10</t>
        </is>
      </c>
      <c r="K113" s="10" t="str">
        <f>IF(I113&lt;=0.1,"OK","ПРОВЕРИТЬ")</f>
        <v>OK</v>
      </c>
    </row>
    <row r="118" ht="27" customHeight="1">
      <c r="A118" s="2" t="inlineStr">
        <is>
          <t xml:space="preserve">Этап 8. K7 — Эксплуатация и сопровождение MVP | Cost</t>
        </is>
      </c>
    </row>
    <row r="119">
      <c r="A119" s="3" t="inlineStr">
        <is>
          <t xml:space="preserve">Элемент</t>
        </is>
      </c>
      <c r="B119" s="3" t="inlineStr">
        <is>
          <t xml:space="preserve">A1</t>
        </is>
      </c>
      <c r="C119" s="3" t="inlineStr">
        <is>
          <t xml:space="preserve">A2</t>
        </is>
      </c>
      <c r="D119" s="3" t="inlineStr">
        <is>
          <t xml:space="preserve">A3</t>
        </is>
      </c>
      <c r="E119" s="3" t="inlineStr">
        <is>
          <t xml:space="preserve">A4</t>
        </is>
      </c>
      <c r="I119" s="3" t="inlineStr">
        <is>
          <t xml:space="preserve">Средн. геом.</t>
        </is>
      </c>
      <c r="J119" s="3" t="inlineStr">
        <is>
          <t xml:space="preserve">Приоритет</t>
        </is>
      </c>
      <c r="K119" s="3" t="inlineStr">
        <is>
          <t xml:space="preserve">λᵢ</t>
        </is>
      </c>
    </row>
    <row r="120">
      <c r="A120" s="7" t="inlineStr">
        <is>
          <t xml:space="preserve">A1</t>
        </is>
      </c>
      <c r="B120" s="8">
        <v>1</v>
      </c>
      <c r="C120" s="5">
        <v>5</v>
      </c>
      <c r="D120" s="5">
        <v>4</v>
      </c>
      <c r="E120" s="5">
        <v>0.5</v>
      </c>
      <c r="I120" s="4">
        <f>PRODUCT(B120:E120)^(1/4)</f>
        <v>1.7782794100389228</v>
      </c>
      <c r="J120" s="4">
        <f>I120/SUM($I$120:$I$123)</f>
        <v>0.3243211095246922</v>
      </c>
      <c r="K120" s="8">
        <f>(B120*$J$120+C120*$J$121+D120*$J$122+E120*$J$123)/J120</f>
        <v>4.057711106442308</v>
      </c>
    </row>
    <row r="121">
      <c r="A121" s="7" t="inlineStr">
        <is>
          <t xml:space="preserve">A2</t>
        </is>
      </c>
      <c r="B121" s="8">
        <f>1/C120</f>
        <v>0.2</v>
      </c>
      <c r="C121" s="8">
        <v>1</v>
      </c>
      <c r="D121" s="5">
        <v>0.5</v>
      </c>
      <c r="E121" s="5">
        <v>0.16666666666666666</v>
      </c>
      <c r="I121" s="4">
        <f>PRODUCT(B121:E121)^(1/4)</f>
        <v>0.35930411196308426</v>
      </c>
      <c r="J121" s="4">
        <f>I121/SUM($I$120:$I$123)</f>
        <v>0.0655295830288566</v>
      </c>
      <c r="K121" s="8">
        <f>(B121*$J$120+C121*$J$121+D121*$J$122+E121*$J$123)/J121</f>
        <v>4.063383139540402</v>
      </c>
    </row>
    <row r="122">
      <c r="A122" s="7" t="inlineStr">
        <is>
          <t xml:space="preserve">A3</t>
        </is>
      </c>
      <c r="B122" s="8">
        <f>1/D120</f>
        <v>0.25</v>
      </c>
      <c r="C122" s="8">
        <f>1/D121</f>
        <v>2</v>
      </c>
      <c r="D122" s="8">
        <v>1</v>
      </c>
      <c r="E122" s="5">
        <v>0.2</v>
      </c>
      <c r="I122" s="4">
        <f>PRODUCT(B122:E122)^(1/4)</f>
        <v>0.5623413251903491</v>
      </c>
      <c r="J122" s="4">
        <f>I122/SUM($I$120:$I$123)</f>
        <v>0.10255933993709562</v>
      </c>
      <c r="K122" s="8">
        <f>(B122*$J$120+C122*$J$121+D122*$J$122+E122*$J$123)/J122</f>
        <v>4.058302024302593</v>
      </c>
    </row>
    <row r="123">
      <c r="A123" s="7" t="inlineStr">
        <is>
          <t xml:space="preserve">A4</t>
        </is>
      </c>
      <c r="B123" s="8">
        <f>1/E120</f>
        <v>2</v>
      </c>
      <c r="C123" s="8">
        <f>1/E121</f>
        <v>6</v>
      </c>
      <c r="D123" s="8">
        <f>1/E122</f>
        <v>5</v>
      </c>
      <c r="E123" s="8">
        <v>1</v>
      </c>
      <c r="I123" s="4">
        <f>PRODUCT(B123:E123)^(1/4)</f>
        <v>2.7831576837137404</v>
      </c>
      <c r="J123" s="4">
        <f>I123/SUM($I$120:$I$123)</f>
        <v>0.5075899675093555</v>
      </c>
      <c r="K123" s="8">
        <f>(B123*$J$120+C123*$J$121+D123*$J$122+E123*$J$123)/J123</f>
        <v>4.062740630072341</v>
      </c>
    </row>
    <row r="125">
      <c r="H125" s="7" t="inlineStr">
        <is>
          <t xml:space="preserve">λmax</t>
        </is>
      </c>
      <c r="I125" s="8">
        <f>AVERAGE(K120:K123)</f>
        <v>4.060534225089411</v>
      </c>
    </row>
    <row r="126">
      <c r="H126" s="7" t="inlineStr">
        <is>
          <t xml:space="preserve">CI</t>
        </is>
      </c>
      <c r="I126" s="8">
        <f>MAX(0,(I125-4)/(4-1))</f>
        <v>0.020178075029803583</v>
      </c>
    </row>
    <row r="127">
      <c r="H127" s="7" t="inlineStr">
        <is>
          <t xml:space="preserve">RI</t>
        </is>
      </c>
      <c r="I127" s="8">
        <v>0.9</v>
      </c>
    </row>
    <row r="128">
      <c r="H128" s="7" t="inlineStr">
        <is>
          <t xml:space="preserve">CR</t>
        </is>
      </c>
      <c r="I128" s="8">
        <f>I126/I127</f>
        <v>0.022420083366448424</v>
      </c>
      <c r="J128" s="7" t="inlineStr">
        <is>
          <t xml:space="preserve">CR ≤ 0,10</t>
        </is>
      </c>
      <c r="K128" s="10" t="str">
        <f>IF(I128&lt;=0.1,"OK","ПРОВЕРИТЬ")</f>
        <v>OK</v>
      </c>
    </row>
  </sheetData>
  <mergeCells count="11">
    <mergeCell ref="A1:L1"/>
    <mergeCell ref="A2:L2"/>
    <mergeCell ref="A3:L3"/>
    <mergeCell ref="A7:L7"/>
    <mergeCell ref="A28:L28"/>
    <mergeCell ref="A43:L43"/>
    <mergeCell ref="A58:L58"/>
    <mergeCell ref="A73:L73"/>
    <mergeCell ref="A88:L88"/>
    <mergeCell ref="A103:L103"/>
    <mergeCell ref="A118:L118"/>
  </mergeCells>
</worksheet>
</file>

<file path=xl/worksheets/sheet4.xml><?xml version="1.0" encoding="utf-8"?>
<worksheet xmlns="http://schemas.openxmlformats.org/spreadsheetml/2006/main">
  <dimension ref="A1:L134"/>
  <sheetViews>
    <sheetView workbookViewId="0">
      <pane ySplit="4" topLeftCell="A5" activePane="bottomLeft" state="frozen"/>
    </sheetView>
  </sheetViews>
  <sheetFormatPr defaultRowHeight="19"/>
  <cols>
    <col min="1" max="1" width="37" customWidth="1"/>
    <col min="2" max="8" width="16" customWidth="1"/>
    <col min="9" max="12" width="19" customWidth="1"/>
  </cols>
  <sheetData>
    <row r="1" ht="27" customHeight="1">
      <c r="A1" s="1" t="inlineStr">
        <is>
          <t xml:space="preserve">Чёткий МАИ — эксперт Полищук</t>
        </is>
      </c>
    </row>
    <row r="2" ht="27" customHeight="1">
      <c r="A2" s="6" t="inlineStr">
        <is>
          <t xml:space="preserve">ЧЕРНОВИК: сравнения преобразованы из оценок 0–10; подтвердите или измените жёлтые значения.</t>
        </is>
      </c>
    </row>
    <row r="3" ht="27" customHeight="1">
      <c r="A3" s="3" t="inlineStr">
        <is>
          <t xml:space="preserve">Верхний треугольник — ввод; нижний — обратные формулы. Приоритеты и CR вычисляются автоматически.</t>
        </is>
      </c>
    </row>
    <row r="7" ht="27" customHeight="1">
      <c r="A7" s="2" t="inlineStr">
        <is>
          <t xml:space="preserve">Этап 1. Веса критериев — матрица 7×7</t>
        </is>
      </c>
    </row>
    <row r="8">
      <c r="A8" s="3" t="inlineStr">
        <is>
          <t xml:space="preserve">Элемент</t>
        </is>
      </c>
      <c r="B8" s="3" t="inlineStr">
        <is>
          <t xml:space="preserve">K1</t>
        </is>
      </c>
      <c r="C8" s="3" t="inlineStr">
        <is>
          <t xml:space="preserve">K2</t>
        </is>
      </c>
      <c r="D8" s="3" t="inlineStr">
        <is>
          <t xml:space="preserve">K3</t>
        </is>
      </c>
      <c r="E8" s="3" t="inlineStr">
        <is>
          <t xml:space="preserve">K4</t>
        </is>
      </c>
      <c r="F8" s="3" t="inlineStr">
        <is>
          <t xml:space="preserve">K5</t>
        </is>
      </c>
      <c r="G8" s="3" t="inlineStr">
        <is>
          <t xml:space="preserve">K6</t>
        </is>
      </c>
      <c r="H8" s="3" t="inlineStr">
        <is>
          <t xml:space="preserve">K7</t>
        </is>
      </c>
      <c r="I8" s="3" t="inlineStr">
        <is>
          <t xml:space="preserve">Средн. геом.</t>
        </is>
      </c>
      <c r="J8" s="3" t="inlineStr">
        <is>
          <t xml:space="preserve">Приоритет</t>
        </is>
      </c>
      <c r="K8" s="3" t="inlineStr">
        <is>
          <t xml:space="preserve">λᵢ</t>
        </is>
      </c>
    </row>
    <row r="9">
      <c r="A9" s="7" t="inlineStr">
        <is>
          <t xml:space="preserve">K1</t>
        </is>
      </c>
      <c r="B9" s="8">
        <v>1</v>
      </c>
      <c r="C9" s="5">
        <v>1</v>
      </c>
      <c r="D9" s="5">
        <v>2</v>
      </c>
      <c r="E9" s="5">
        <v>1</v>
      </c>
      <c r="F9" s="5">
        <v>1</v>
      </c>
      <c r="G9" s="5">
        <v>2</v>
      </c>
      <c r="H9" s="5">
        <v>3</v>
      </c>
      <c r="I9" s="4">
        <f>PRODUCT(B9:H9)^(1/7)</f>
        <v>1.426161635227379</v>
      </c>
      <c r="J9" s="4">
        <f>I9/SUM($I$9:$I$15)</f>
        <v>0.1869513757292857</v>
      </c>
      <c r="K9" s="8">
        <f>(B9*$J$9+C9*$J$10+D9*$J$11+E9*$J$12+F9*$J$13+G9*$J$14+H9*$J$15)/J9</f>
        <v>7.00499969557091</v>
      </c>
    </row>
    <row r="10">
      <c r="A10" s="7" t="inlineStr">
        <is>
          <t xml:space="preserve">K2</t>
        </is>
      </c>
      <c r="B10" s="8">
        <f>1/C9</f>
        <v>1</v>
      </c>
      <c r="C10" s="8">
        <v>1</v>
      </c>
      <c r="D10" s="5">
        <v>2</v>
      </c>
      <c r="E10" s="5">
        <v>1</v>
      </c>
      <c r="F10" s="5">
        <v>1</v>
      </c>
      <c r="G10" s="5">
        <v>2</v>
      </c>
      <c r="H10" s="5">
        <v>3</v>
      </c>
      <c r="I10" s="4">
        <f>PRODUCT(B10:H10)^(1/7)</f>
        <v>1.426161635227379</v>
      </c>
      <c r="J10" s="4">
        <f>I10/SUM($I$9:$I$15)</f>
        <v>0.1869513757292857</v>
      </c>
      <c r="K10" s="8">
        <f>(B10*$J$9+C10*$J$10+D10*$J$11+E10*$J$12+F10*$J$13+G10*$J$14+H10*$J$15)/J10</f>
        <v>7.00499969557091</v>
      </c>
    </row>
    <row r="11">
      <c r="A11" s="7" t="inlineStr">
        <is>
          <t xml:space="preserve">K3</t>
        </is>
      </c>
      <c r="B11" s="8">
        <f>1/D9</f>
        <v>0.5</v>
      </c>
      <c r="C11" s="8">
        <f>1/D10</f>
        <v>0.5</v>
      </c>
      <c r="D11" s="8">
        <v>1</v>
      </c>
      <c r="E11" s="5">
        <v>0.5</v>
      </c>
      <c r="F11" s="5">
        <v>0.5</v>
      </c>
      <c r="G11" s="5">
        <v>1</v>
      </c>
      <c r="H11" s="5">
        <v>2</v>
      </c>
      <c r="I11" s="4">
        <f>PRODUCT(B11:H11)^(1/7)</f>
        <v>0.7429971445684742</v>
      </c>
      <c r="J11" s="4">
        <f>I11/SUM($I$9:$I$15)</f>
        <v>0.09739733204775286</v>
      </c>
      <c r="K11" s="8">
        <f>(B11*$J$9+C11*$J$10+D11*$J$11+E11*$J$12+F11*$J$13+G11*$J$14+H11*$J$15)/J11</f>
        <v>7.017616059479629</v>
      </c>
    </row>
    <row r="12">
      <c r="A12" s="7" t="inlineStr">
        <is>
          <t xml:space="preserve">K4</t>
        </is>
      </c>
      <c r="B12" s="8">
        <f>1/E9</f>
        <v>1</v>
      </c>
      <c r="C12" s="8">
        <f>1/E10</f>
        <v>1</v>
      </c>
      <c r="D12" s="8">
        <f>1/E11</f>
        <v>2</v>
      </c>
      <c r="E12" s="8">
        <v>1</v>
      </c>
      <c r="F12" s="5">
        <v>1</v>
      </c>
      <c r="G12" s="5">
        <v>2</v>
      </c>
      <c r="H12" s="5">
        <v>3</v>
      </c>
      <c r="I12" s="4">
        <f>PRODUCT(B12:H12)^(1/7)</f>
        <v>1.426161635227379</v>
      </c>
      <c r="J12" s="4">
        <f>I12/SUM($I$9:$I$15)</f>
        <v>0.1869513757292857</v>
      </c>
      <c r="K12" s="8">
        <f>(B12*$J$9+C12*$J$10+D12*$J$11+E12*$J$12+F12*$J$13+G12*$J$14+H12*$J$15)/J12</f>
        <v>7.00499969557091</v>
      </c>
    </row>
    <row r="13">
      <c r="A13" s="7" t="inlineStr">
        <is>
          <t xml:space="preserve">K5</t>
        </is>
      </c>
      <c r="B13" s="8">
        <f>1/F9</f>
        <v>1</v>
      </c>
      <c r="C13" s="8">
        <f>1/F10</f>
        <v>1</v>
      </c>
      <c r="D13" s="8">
        <f>1/F11</f>
        <v>2</v>
      </c>
      <c r="E13" s="8">
        <f>1/F12</f>
        <v>1</v>
      </c>
      <c r="F13" s="8">
        <v>1</v>
      </c>
      <c r="G13" s="5">
        <v>2</v>
      </c>
      <c r="H13" s="5">
        <v>3</v>
      </c>
      <c r="I13" s="4">
        <f>PRODUCT(B13:H13)^(1/7)</f>
        <v>1.426161635227379</v>
      </c>
      <c r="J13" s="4">
        <f>I13/SUM($I$9:$I$15)</f>
        <v>0.1869513757292857</v>
      </c>
      <c r="K13" s="8">
        <f>(B13*$J$9+C13*$J$10+D13*$J$11+E13*$J$12+F13*$J$13+G13*$J$14+H13*$J$15)/J13</f>
        <v>7.00499969557091</v>
      </c>
    </row>
    <row r="14">
      <c r="A14" s="7" t="inlineStr">
        <is>
          <t xml:space="preserve">K6</t>
        </is>
      </c>
      <c r="B14" s="8">
        <f>1/G9</f>
        <v>0.5</v>
      </c>
      <c r="C14" s="8">
        <f>1/G10</f>
        <v>0.5</v>
      </c>
      <c r="D14" s="8">
        <f>1/G11</f>
        <v>1</v>
      </c>
      <c r="E14" s="8">
        <f>1/G12</f>
        <v>0.5</v>
      </c>
      <c r="F14" s="8">
        <f>1/G13</f>
        <v>0.5</v>
      </c>
      <c r="G14" s="8">
        <v>1</v>
      </c>
      <c r="H14" s="5">
        <v>2</v>
      </c>
      <c r="I14" s="4">
        <f>PRODUCT(B14:H14)^(1/7)</f>
        <v>0.7429971445684742</v>
      </c>
      <c r="J14" s="4">
        <f>I14/SUM($I$9:$I$15)</f>
        <v>0.09739733204775286</v>
      </c>
      <c r="K14" s="8">
        <f>(B14*$J$9+C14*$J$10+D14*$J$11+E14*$J$12+F14*$J$13+G14*$J$14+H14*$J$15)/J14</f>
        <v>7.017616059479629</v>
      </c>
    </row>
    <row r="15">
      <c r="A15" s="7" t="inlineStr">
        <is>
          <t xml:space="preserve">K7</t>
        </is>
      </c>
      <c r="B15" s="8">
        <f>1/H9</f>
        <v>0.3333333333333333</v>
      </c>
      <c r="C15" s="8">
        <f>1/H10</f>
        <v>0.3333333333333333</v>
      </c>
      <c r="D15" s="8">
        <f>1/H11</f>
        <v>0.5</v>
      </c>
      <c r="E15" s="8">
        <f>1/H12</f>
        <v>0.3333333333333333</v>
      </c>
      <c r="F15" s="8">
        <f>1/H13</f>
        <v>0.3333333333333333</v>
      </c>
      <c r="G15" s="8">
        <f>1/H14</f>
        <v>0.5</v>
      </c>
      <c r="H15" s="8">
        <v>1</v>
      </c>
      <c r="I15" s="4">
        <f>PRODUCT(B15:H15)^(1/7)</f>
        <v>0.43787556713976256</v>
      </c>
      <c r="J15" s="4">
        <f>I15/SUM($I$9:$I$15)</f>
        <v>0.0573998329873516</v>
      </c>
      <c r="K15" s="8">
        <f>(B15*$J$9+C15*$J$10+D15*$J$11+E15*$J$12+F15*$J$13+G15*$J$14+H15*$J$15)/J15</f>
        <v>7.039492015534674</v>
      </c>
    </row>
    <row r="17">
      <c r="H17" s="7" t="inlineStr">
        <is>
          <t xml:space="preserve">λmax</t>
        </is>
      </c>
      <c r="I17" s="8">
        <f>AVERAGE(K9:K15)</f>
        <v>7.013531845253938</v>
      </c>
    </row>
    <row r="18">
      <c r="H18" s="7" t="inlineStr">
        <is>
          <t xml:space="preserve">CI</t>
        </is>
      </c>
      <c r="I18" s="8">
        <f>MAX(0,(I17-7)/(7-1))</f>
        <v>0.0022553075423230595</v>
      </c>
    </row>
    <row r="19">
      <c r="H19" s="7" t="inlineStr">
        <is>
          <t xml:space="preserve">RI</t>
        </is>
      </c>
      <c r="I19" s="8">
        <v>1.32</v>
      </c>
    </row>
    <row r="20">
      <c r="H20" s="7" t="inlineStr">
        <is>
          <t xml:space="preserve">CR</t>
        </is>
      </c>
      <c r="I20" s="8">
        <f>I18/I19</f>
        <v>0.0017085663199417117</v>
      </c>
      <c r="J20" s="7" t="inlineStr">
        <is>
          <t xml:space="preserve">CR ≤ 0,10</t>
        </is>
      </c>
      <c r="K20" s="10" t="str">
        <f>IF(I20&lt;=0.1,"OK","ПРОВЕРИТЬ")</f>
        <v>OK</v>
      </c>
    </row>
    <row r="28" ht="27" customHeight="1">
      <c r="A28" s="2" t="inlineStr">
        <is>
          <t xml:space="preserve">Этап 2. K1 — Практическая значимость | Benefit</t>
        </is>
      </c>
    </row>
    <row r="29">
      <c r="A29" s="3" t="inlineStr">
        <is>
          <t xml:space="preserve">Элемент</t>
        </is>
      </c>
      <c r="B29" s="3" t="inlineStr">
        <is>
          <t xml:space="preserve">A1</t>
        </is>
      </c>
      <c r="C29" s="3" t="inlineStr">
        <is>
          <t xml:space="preserve">A2</t>
        </is>
      </c>
      <c r="D29" s="3" t="inlineStr">
        <is>
          <t xml:space="preserve">A3</t>
        </is>
      </c>
      <c r="E29" s="3" t="inlineStr">
        <is>
          <t xml:space="preserve">A4</t>
        </is>
      </c>
      <c r="I29" s="3" t="inlineStr">
        <is>
          <t xml:space="preserve">Средн. геом.</t>
        </is>
      </c>
      <c r="J29" s="3" t="inlineStr">
        <is>
          <t xml:space="preserve">Приоритет</t>
        </is>
      </c>
      <c r="K29" s="3" t="inlineStr">
        <is>
          <t xml:space="preserve">λᵢ</t>
        </is>
      </c>
    </row>
    <row r="30">
      <c r="A30" s="7" t="inlineStr">
        <is>
          <t xml:space="preserve">A1</t>
        </is>
      </c>
      <c r="B30" s="8">
        <v>1</v>
      </c>
      <c r="C30" s="5">
        <v>2</v>
      </c>
      <c r="D30" s="5">
        <v>1</v>
      </c>
      <c r="E30" s="5">
        <v>4</v>
      </c>
      <c r="I30" s="4">
        <f>PRODUCT(B30:E30)^(1/4)</f>
        <v>1.681792830507429</v>
      </c>
      <c r="J30" s="4">
        <f>I30/SUM($I$30:$I$33)</f>
        <v>0.3598104065881338</v>
      </c>
      <c r="K30" s="8">
        <f>(B30*$J$30+C30*$J$31+D30*$J$32+E30*$J$33)/J30</f>
        <v>4.010283923310167</v>
      </c>
    </row>
    <row r="31">
      <c r="A31" s="7" t="inlineStr">
        <is>
          <t xml:space="preserve">A2</t>
        </is>
      </c>
      <c r="B31" s="8">
        <f>1/C30</f>
        <v>0.5</v>
      </c>
      <c r="C31" s="8">
        <v>1</v>
      </c>
      <c r="D31" s="5">
        <v>0.5</v>
      </c>
      <c r="E31" s="5">
        <v>3</v>
      </c>
      <c r="I31" s="4">
        <f>PRODUCT(B31:E31)^(1/4)</f>
        <v>0.9306048591020997</v>
      </c>
      <c r="J31" s="4">
        <f>I31/SUM($I$30:$I$33)</f>
        <v>0.19909783574555462</v>
      </c>
      <c r="K31" s="8">
        <f>(B31*$J$30+C31*$J$31+D31*$J$32+E31*$J$33)/J31</f>
        <v>4.031948878611278</v>
      </c>
    </row>
    <row r="32">
      <c r="A32" s="7" t="inlineStr">
        <is>
          <t xml:space="preserve">A3</t>
        </is>
      </c>
      <c r="B32" s="8">
        <f>1/D30</f>
        <v>1</v>
      </c>
      <c r="C32" s="8">
        <f>1/D31</f>
        <v>2</v>
      </c>
      <c r="D32" s="8">
        <v>1</v>
      </c>
      <c r="E32" s="5">
        <v>4</v>
      </c>
      <c r="I32" s="4">
        <f>PRODUCT(B32:E32)^(1/4)</f>
        <v>1.681792830507429</v>
      </c>
      <c r="J32" s="4">
        <f>I32/SUM($I$30:$I$33)</f>
        <v>0.3598104065881338</v>
      </c>
      <c r="K32" s="8">
        <f>(B32*$J$30+C32*$J$31+D32*$J$32+E32*$J$33)/J32</f>
        <v>4.010283923310167</v>
      </c>
    </row>
    <row r="33">
      <c r="A33" s="7" t="inlineStr">
        <is>
          <t xml:space="preserve">A4</t>
        </is>
      </c>
      <c r="B33" s="8">
        <f>1/E30</f>
        <v>0.25</v>
      </c>
      <c r="C33" s="8">
        <f>1/E31</f>
        <v>0.3333333333333333</v>
      </c>
      <c r="D33" s="8">
        <f>1/E32</f>
        <v>0.25</v>
      </c>
      <c r="E33" s="8">
        <v>1</v>
      </c>
      <c r="I33" s="4">
        <f>PRODUCT(B33:E33)^(1/4)</f>
        <v>0.37991784282579627</v>
      </c>
      <c r="J33" s="4">
        <f>I33/SUM($I$30:$I$33)</f>
        <v>0.08128135107817766</v>
      </c>
      <c r="K33" s="8">
        <f>(B33*$J$30+C33*$J$31+D33*$J$32+E33*$J$33)/J33</f>
        <v>4.029860420328369</v>
      </c>
    </row>
    <row r="35">
      <c r="H35" s="7" t="inlineStr">
        <is>
          <t xml:space="preserve">λmax</t>
        </is>
      </c>
      <c r="I35" s="8">
        <f>AVERAGE(K30:K33)</f>
        <v>4.020594286389995</v>
      </c>
    </row>
    <row r="36">
      <c r="H36" s="7" t="inlineStr">
        <is>
          <t xml:space="preserve">CI</t>
        </is>
      </c>
      <c r="I36" s="8">
        <f>MAX(0,(I35-4)/(4-1))</f>
        <v>0.006864762129998425</v>
      </c>
    </row>
    <row r="37">
      <c r="H37" s="7" t="inlineStr">
        <is>
          <t xml:space="preserve">RI</t>
        </is>
      </c>
      <c r="I37" s="8">
        <v>0.9</v>
      </c>
    </row>
    <row r="38">
      <c r="H38" s="7" t="inlineStr">
        <is>
          <t xml:space="preserve">CR</t>
        </is>
      </c>
      <c r="I38" s="8">
        <f>I36/I37</f>
        <v>0.007627513477776028</v>
      </c>
      <c r="J38" s="7" t="inlineStr">
        <is>
          <t xml:space="preserve">CR ≤ 0,10</t>
        </is>
      </c>
      <c r="K38" s="10" t="str">
        <f>IF(I38&lt;=0.1,"OK","ПРОВЕРИТЬ")</f>
        <v>OK</v>
      </c>
    </row>
    <row r="43" ht="27" customHeight="1">
      <c r="A43" s="2" t="inlineStr">
        <is>
          <t xml:space="preserve">Этап 3. K2 — Функциональная содержательность | Benefit</t>
        </is>
      </c>
    </row>
    <row r="44">
      <c r="A44" s="3" t="inlineStr">
        <is>
          <t xml:space="preserve">Элемент</t>
        </is>
      </c>
      <c r="B44" s="3" t="inlineStr">
        <is>
          <t xml:space="preserve">A1</t>
        </is>
      </c>
      <c r="C44" s="3" t="inlineStr">
        <is>
          <t xml:space="preserve">A2</t>
        </is>
      </c>
      <c r="D44" s="3" t="inlineStr">
        <is>
          <t xml:space="preserve">A3</t>
        </is>
      </c>
      <c r="E44" s="3" t="inlineStr">
        <is>
          <t xml:space="preserve">A4</t>
        </is>
      </c>
      <c r="I44" s="3" t="inlineStr">
        <is>
          <t xml:space="preserve">Средн. геом.</t>
        </is>
      </c>
      <c r="J44" s="3" t="inlineStr">
        <is>
          <t xml:space="preserve">Приоритет</t>
        </is>
      </c>
      <c r="K44" s="3" t="inlineStr">
        <is>
          <t xml:space="preserve">λᵢ</t>
        </is>
      </c>
    </row>
    <row r="45">
      <c r="A45" s="7" t="inlineStr">
        <is>
          <t xml:space="preserve">A1</t>
        </is>
      </c>
      <c r="B45" s="8">
        <v>1</v>
      </c>
      <c r="C45" s="5">
        <v>1</v>
      </c>
      <c r="D45" s="5">
        <v>1</v>
      </c>
      <c r="E45" s="5">
        <v>3</v>
      </c>
      <c r="I45" s="4">
        <f>PRODUCT(B45:E45)^(1/4)</f>
        <v>1.3160740129524926</v>
      </c>
      <c r="J45" s="4">
        <f>I45/SUM($I$45:$I$48)</f>
        <v>0.3</v>
      </c>
      <c r="K45" s="8">
        <f>(B45*$J$45+C45*$J$46+D45*$J$47+E45*$J$48)/J45</f>
        <v>3.999999999999999</v>
      </c>
    </row>
    <row r="46">
      <c r="A46" s="7" t="inlineStr">
        <is>
          <t xml:space="preserve">A2</t>
        </is>
      </c>
      <c r="B46" s="8">
        <f>1/C45</f>
        <v>1</v>
      </c>
      <c r="C46" s="8">
        <v>1</v>
      </c>
      <c r="D46" s="5">
        <v>1</v>
      </c>
      <c r="E46" s="5">
        <v>3</v>
      </c>
      <c r="I46" s="4">
        <f>PRODUCT(B46:E46)^(1/4)</f>
        <v>1.3160740129524926</v>
      </c>
      <c r="J46" s="4">
        <f>I46/SUM($I$45:$I$48)</f>
        <v>0.3</v>
      </c>
      <c r="K46" s="8">
        <f>(B46*$J$45+C46*$J$46+D46*$J$47+E46*$J$48)/J46</f>
        <v>3.999999999999999</v>
      </c>
    </row>
    <row r="47">
      <c r="A47" s="7" t="inlineStr">
        <is>
          <t xml:space="preserve">A3</t>
        </is>
      </c>
      <c r="B47" s="8">
        <f>1/D45</f>
        <v>1</v>
      </c>
      <c r="C47" s="8">
        <f>1/D46</f>
        <v>1</v>
      </c>
      <c r="D47" s="8">
        <v>1</v>
      </c>
      <c r="E47" s="5">
        <v>3</v>
      </c>
      <c r="I47" s="4">
        <f>PRODUCT(B47:E47)^(1/4)</f>
        <v>1.3160740129524926</v>
      </c>
      <c r="J47" s="4">
        <f>I47/SUM($I$45:$I$48)</f>
        <v>0.3</v>
      </c>
      <c r="K47" s="8">
        <f>(B47*$J$45+C47*$J$46+D47*$J$47+E47*$J$48)/J47</f>
        <v>3.999999999999999</v>
      </c>
    </row>
    <row r="48">
      <c r="A48" s="7" t="inlineStr">
        <is>
          <t xml:space="preserve">A4</t>
        </is>
      </c>
      <c r="B48" s="8">
        <f>1/E45</f>
        <v>0.3333333333333333</v>
      </c>
      <c r="C48" s="8">
        <f>1/E46</f>
        <v>0.3333333333333333</v>
      </c>
      <c r="D48" s="8">
        <f>1/E47</f>
        <v>0.3333333333333333</v>
      </c>
      <c r="E48" s="8">
        <v>1</v>
      </c>
      <c r="I48" s="4">
        <f>PRODUCT(B48:E48)^(1/4)</f>
        <v>0.4386913376508308</v>
      </c>
      <c r="J48" s="4">
        <f>I48/SUM($I$45:$I$48)</f>
        <v>0.09999999999999998</v>
      </c>
      <c r="K48" s="8">
        <f>(B48*$J$45+C48*$J$46+D48*$J$47+E48*$J$48)/J48</f>
        <v>4.000000000000001</v>
      </c>
    </row>
    <row r="50">
      <c r="H50" s="7" t="inlineStr">
        <is>
          <t xml:space="preserve">λmax</t>
        </is>
      </c>
      <c r="I50" s="8">
        <f>AVERAGE(K45:K48)</f>
        <v>3.999999999999999</v>
      </c>
    </row>
    <row r="51">
      <c r="H51" s="7" t="inlineStr">
        <is>
          <t xml:space="preserve">CI</t>
        </is>
      </c>
      <c r="I51" s="8">
        <f>MAX(0,(I50-4)/(4-1))</f>
        <v>0</v>
      </c>
    </row>
    <row r="52">
      <c r="H52" s="7" t="inlineStr">
        <is>
          <t xml:space="preserve">RI</t>
        </is>
      </c>
      <c r="I52" s="8">
        <v>0.9</v>
      </c>
    </row>
    <row r="53">
      <c r="H53" s="7" t="inlineStr">
        <is>
          <t xml:space="preserve">CR</t>
        </is>
      </c>
      <c r="I53" s="8">
        <f>I51/I52</f>
        <v>0</v>
      </c>
      <c r="J53" s="7" t="inlineStr">
        <is>
          <t xml:space="preserve">CR ≤ 0,10</t>
        </is>
      </c>
      <c r="K53" s="10" t="str">
        <f>IF(I53&lt;=0.1,"OK","ПРОВЕРИТЬ")</f>
        <v>OK</v>
      </c>
    </row>
    <row r="58" ht="27" customHeight="1">
      <c r="A58" s="2" t="inlineStr">
        <is>
          <t xml:space="preserve">Этап 4. K3 — Потенциал интеграции и развития | Benefit</t>
        </is>
      </c>
    </row>
    <row r="59">
      <c r="A59" s="3" t="inlineStr">
        <is>
          <t xml:space="preserve">Элемент</t>
        </is>
      </c>
      <c r="B59" s="3" t="inlineStr">
        <is>
          <t xml:space="preserve">A1</t>
        </is>
      </c>
      <c r="C59" s="3" t="inlineStr">
        <is>
          <t xml:space="preserve">A2</t>
        </is>
      </c>
      <c r="D59" s="3" t="inlineStr">
        <is>
          <t xml:space="preserve">A3</t>
        </is>
      </c>
      <c r="E59" s="3" t="inlineStr">
        <is>
          <t xml:space="preserve">A4</t>
        </is>
      </c>
      <c r="I59" s="3" t="inlineStr">
        <is>
          <t xml:space="preserve">Средн. геом.</t>
        </is>
      </c>
      <c r="J59" s="3" t="inlineStr">
        <is>
          <t xml:space="preserve">Приоритет</t>
        </is>
      </c>
      <c r="K59" s="3" t="inlineStr">
        <is>
          <t xml:space="preserve">λᵢ</t>
        </is>
      </c>
    </row>
    <row r="60">
      <c r="A60" s="7" t="inlineStr">
        <is>
          <t xml:space="preserve">A1</t>
        </is>
      </c>
      <c r="B60" s="8">
        <v>1</v>
      </c>
      <c r="C60" s="5">
        <v>0.3333333333333333</v>
      </c>
      <c r="D60" s="5">
        <v>0.5</v>
      </c>
      <c r="E60" s="5">
        <v>2</v>
      </c>
      <c r="I60" s="4">
        <f>PRODUCT(B60:E60)^(1/4)</f>
        <v>0.7598356856515925</v>
      </c>
      <c r="J60" s="4">
        <f>I60/SUM($I$60:$I$63)</f>
        <v>0.16026655545518995</v>
      </c>
      <c r="K60" s="8">
        <f>(B60*$J$60+C60*$J$61+D60*$J$62+E60*$J$63)/J60</f>
        <v>4.026216062201806</v>
      </c>
    </row>
    <row r="61">
      <c r="A61" s="7" t="inlineStr">
        <is>
          <t xml:space="preserve">A2</t>
        </is>
      </c>
      <c r="B61" s="8">
        <f>1/C60</f>
        <v>3</v>
      </c>
      <c r="C61" s="8">
        <v>1</v>
      </c>
      <c r="D61" s="5">
        <v>2</v>
      </c>
      <c r="E61" s="5">
        <v>4</v>
      </c>
      <c r="I61" s="4">
        <f>PRODUCT(B61:E61)^(1/4)</f>
        <v>2.213363839400643</v>
      </c>
      <c r="J61" s="4">
        <f>I61/SUM($I$60:$I$63)</f>
        <v>0.466848563720221</v>
      </c>
      <c r="K61" s="8">
        <f>(B61*$J$60+C61*$J$61+D61*$J$62+E61*$J$63)/J61</f>
        <v>4.035587267884006</v>
      </c>
    </row>
    <row r="62">
      <c r="A62" s="7" t="inlineStr">
        <is>
          <t xml:space="preserve">A3</t>
        </is>
      </c>
      <c r="B62" s="8">
        <f>1/D60</f>
        <v>2</v>
      </c>
      <c r="C62" s="8">
        <f>1/D61</f>
        <v>0.5</v>
      </c>
      <c r="D62" s="8">
        <v>1</v>
      </c>
      <c r="E62" s="5">
        <v>3</v>
      </c>
      <c r="I62" s="4">
        <f>PRODUCT(B62:E62)^(1/4)</f>
        <v>1.3160740129524926</v>
      </c>
      <c r="J62" s="4">
        <f>I62/SUM($I$60:$I$63)</f>
        <v>0.27758981680244404</v>
      </c>
      <c r="K62" s="8">
        <f>(B62*$J$60+C62*$J$61+D62*$J$62+E62*$J$63)/J62</f>
        <v>4.0254805255865245</v>
      </c>
    </row>
    <row r="63">
      <c r="A63" s="7" t="inlineStr">
        <is>
          <t xml:space="preserve">A4</t>
        </is>
      </c>
      <c r="B63" s="8">
        <f>1/E60</f>
        <v>0.5</v>
      </c>
      <c r="C63" s="8">
        <f>1/E61</f>
        <v>0.25</v>
      </c>
      <c r="D63" s="8">
        <f>1/E62</f>
        <v>0.3333333333333333</v>
      </c>
      <c r="E63" s="8">
        <v>1</v>
      </c>
      <c r="I63" s="4">
        <f>PRODUCT(B63:E63)^(1/4)</f>
        <v>0.45180100180492244</v>
      </c>
      <c r="J63" s="4">
        <f>I63/SUM($I$60:$I$63)</f>
        <v>0.09529506402214503</v>
      </c>
      <c r="K63" s="8">
        <f>(B63*$J$60+C63*$J$61+D63*$J$62+E63*$J$63)/J63</f>
        <v>4.03662483005995</v>
      </c>
    </row>
    <row r="65">
      <c r="H65" s="7" t="inlineStr">
        <is>
          <t xml:space="preserve">λmax</t>
        </is>
      </c>
      <c r="I65" s="8">
        <f>AVERAGE(K60:K63)</f>
        <v>4.030977171433071</v>
      </c>
    </row>
    <row r="66">
      <c r="H66" s="7" t="inlineStr">
        <is>
          <t xml:space="preserve">CI</t>
        </is>
      </c>
      <c r="I66" s="8">
        <f>MAX(0,(I65-4)/(4-1))</f>
        <v>0.010325723811023776</v>
      </c>
    </row>
    <row r="67">
      <c r="H67" s="7" t="inlineStr">
        <is>
          <t xml:space="preserve">RI</t>
        </is>
      </c>
      <c r="I67" s="8">
        <v>0.9</v>
      </c>
    </row>
    <row r="68">
      <c r="H68" s="7" t="inlineStr">
        <is>
          <t xml:space="preserve">CR</t>
        </is>
      </c>
      <c r="I68" s="8">
        <f>I66/I67</f>
        <v>0.011473026456693085</v>
      </c>
      <c r="J68" s="7" t="inlineStr">
        <is>
          <t xml:space="preserve">CR ≤ 0,10</t>
        </is>
      </c>
      <c r="K68" s="10" t="str">
        <f>IF(I68&lt;=0.1,"OK","ПРОВЕРИТЬ")</f>
        <v>OK</v>
      </c>
    </row>
    <row r="73" ht="27" customHeight="1">
      <c r="A73" s="2" t="inlineStr">
        <is>
          <t xml:space="preserve">Этап 5. K4 — Демонстрационная и исследовательская ценность | Benefit</t>
        </is>
      </c>
    </row>
    <row r="74">
      <c r="A74" s="3" t="inlineStr">
        <is>
          <t xml:space="preserve">Элемент</t>
        </is>
      </c>
      <c r="B74" s="3" t="inlineStr">
        <is>
          <t xml:space="preserve">A1</t>
        </is>
      </c>
      <c r="C74" s="3" t="inlineStr">
        <is>
          <t xml:space="preserve">A2</t>
        </is>
      </c>
      <c r="D74" s="3" t="inlineStr">
        <is>
          <t xml:space="preserve">A3</t>
        </is>
      </c>
      <c r="E74" s="3" t="inlineStr">
        <is>
          <t xml:space="preserve">A4</t>
        </is>
      </c>
      <c r="I74" s="3" t="inlineStr">
        <is>
          <t xml:space="preserve">Средн. геом.</t>
        </is>
      </c>
      <c r="J74" s="3" t="inlineStr">
        <is>
          <t xml:space="preserve">Приоритет</t>
        </is>
      </c>
      <c r="K74" s="3" t="inlineStr">
        <is>
          <t xml:space="preserve">λᵢ</t>
        </is>
      </c>
    </row>
    <row r="75">
      <c r="A75" s="7" t="inlineStr">
        <is>
          <t xml:space="preserve">A1</t>
        </is>
      </c>
      <c r="B75" s="8">
        <v>1</v>
      </c>
      <c r="C75" s="5">
        <v>2</v>
      </c>
      <c r="D75" s="5">
        <v>1</v>
      </c>
      <c r="E75" s="5">
        <v>2</v>
      </c>
      <c r="I75" s="4">
        <f>PRODUCT(B75:E75)^(1/4)</f>
        <v>1.414213562373095</v>
      </c>
      <c r="J75" s="4">
        <f>I75/SUM($I$75:$I$78)</f>
        <v>0.3333333333333333</v>
      </c>
      <c r="K75" s="8">
        <f>(B75*$J$75+C75*$J$76+D75*$J$77+E75*$J$78)/J75</f>
        <v>4.000000000000001</v>
      </c>
    </row>
    <row r="76">
      <c r="A76" s="7" t="inlineStr">
        <is>
          <t xml:space="preserve">A2</t>
        </is>
      </c>
      <c r="B76" s="8">
        <f>1/C75</f>
        <v>0.5</v>
      </c>
      <c r="C76" s="8">
        <v>1</v>
      </c>
      <c r="D76" s="5">
        <v>0.5</v>
      </c>
      <c r="E76" s="5">
        <v>1</v>
      </c>
      <c r="I76" s="4">
        <f>PRODUCT(B76:E76)^(1/4)</f>
        <v>0.7071067811865476</v>
      </c>
      <c r="J76" s="4">
        <f>I76/SUM($I$75:$I$78)</f>
        <v>0.16666666666666669</v>
      </c>
      <c r="K76" s="8">
        <f>(B76*$J$75+C76*$J$76+D76*$J$77+E76*$J$78)/J76</f>
        <v>4</v>
      </c>
    </row>
    <row r="77">
      <c r="A77" s="7" t="inlineStr">
        <is>
          <t xml:space="preserve">A3</t>
        </is>
      </c>
      <c r="B77" s="8">
        <f>1/D75</f>
        <v>1</v>
      </c>
      <c r="C77" s="8">
        <f>1/D76</f>
        <v>2</v>
      </c>
      <c r="D77" s="8">
        <v>1</v>
      </c>
      <c r="E77" s="5">
        <v>2</v>
      </c>
      <c r="I77" s="4">
        <f>PRODUCT(B77:E77)^(1/4)</f>
        <v>1.414213562373095</v>
      </c>
      <c r="J77" s="4">
        <f>I77/SUM($I$75:$I$78)</f>
        <v>0.3333333333333333</v>
      </c>
      <c r="K77" s="8">
        <f>(B77*$J$75+C77*$J$76+D77*$J$77+E77*$J$78)/J77</f>
        <v>4.000000000000001</v>
      </c>
    </row>
    <row r="78">
      <c r="A78" s="7" t="inlineStr">
        <is>
          <t xml:space="preserve">A4</t>
        </is>
      </c>
      <c r="B78" s="8">
        <f>1/E75</f>
        <v>0.5</v>
      </c>
      <c r="C78" s="8">
        <f>1/E76</f>
        <v>1</v>
      </c>
      <c r="D78" s="8">
        <f>1/E77</f>
        <v>0.5</v>
      </c>
      <c r="E78" s="8">
        <v>1</v>
      </c>
      <c r="I78" s="4">
        <f>PRODUCT(B78:E78)^(1/4)</f>
        <v>0.7071067811865476</v>
      </c>
      <c r="J78" s="4">
        <f>I78/SUM($I$75:$I$78)</f>
        <v>0.16666666666666669</v>
      </c>
      <c r="K78" s="8">
        <f>(B78*$J$75+C78*$J$76+D78*$J$77+E78*$J$78)/J78</f>
        <v>4</v>
      </c>
    </row>
    <row r="80">
      <c r="H80" s="7" t="inlineStr">
        <is>
          <t xml:space="preserve">λmax</t>
        </is>
      </c>
      <c r="I80" s="8">
        <f>AVERAGE(K75:K78)</f>
        <v>4</v>
      </c>
    </row>
    <row r="81">
      <c r="H81" s="7" t="inlineStr">
        <is>
          <t xml:space="preserve">CI</t>
        </is>
      </c>
      <c r="I81" s="8">
        <f>MAX(0,(I80-4)/(4-1))</f>
        <v>0</v>
      </c>
    </row>
    <row r="82">
      <c r="H82" s="7" t="inlineStr">
        <is>
          <t xml:space="preserve">RI</t>
        </is>
      </c>
      <c r="I82" s="8">
        <v>0.9</v>
      </c>
    </row>
    <row r="83">
      <c r="H83" s="7" t="inlineStr">
        <is>
          <t xml:space="preserve">CR</t>
        </is>
      </c>
      <c r="I83" s="8">
        <f>I81/I82</f>
        <v>0</v>
      </c>
      <c r="J83" s="7" t="inlineStr">
        <is>
          <t xml:space="preserve">CR ≤ 0,10</t>
        </is>
      </c>
      <c r="K83" s="10" t="str">
        <f>IF(I83&lt;=0.1,"OK","ПРОВЕРИТЬ")</f>
        <v>OK</v>
      </c>
    </row>
    <row r="88" ht="27" customHeight="1">
      <c r="A88" s="2" t="inlineStr">
        <is>
          <t xml:space="preserve">Этап 6. K5 — Трудоёмкость реализации MVP | Cost</t>
        </is>
      </c>
    </row>
    <row r="89">
      <c r="A89" s="3" t="inlineStr">
        <is>
          <t xml:space="preserve">Элемент</t>
        </is>
      </c>
      <c r="B89" s="3" t="inlineStr">
        <is>
          <t xml:space="preserve">A1</t>
        </is>
      </c>
      <c r="C89" s="3" t="inlineStr">
        <is>
          <t xml:space="preserve">A2</t>
        </is>
      </c>
      <c r="D89" s="3" t="inlineStr">
        <is>
          <t xml:space="preserve">A3</t>
        </is>
      </c>
      <c r="E89" s="3" t="inlineStr">
        <is>
          <t xml:space="preserve">A4</t>
        </is>
      </c>
      <c r="I89" s="3" t="inlineStr">
        <is>
          <t xml:space="preserve">Средн. геом.</t>
        </is>
      </c>
      <c r="J89" s="3" t="inlineStr">
        <is>
          <t xml:space="preserve">Приоритет</t>
        </is>
      </c>
      <c r="K89" s="3" t="inlineStr">
        <is>
          <t xml:space="preserve">λᵢ</t>
        </is>
      </c>
    </row>
    <row r="90">
      <c r="A90" s="7" t="inlineStr">
        <is>
          <t xml:space="preserve">A1</t>
        </is>
      </c>
      <c r="B90" s="8">
        <v>1</v>
      </c>
      <c r="C90" s="5">
        <v>4</v>
      </c>
      <c r="D90" s="5">
        <v>3</v>
      </c>
      <c r="E90" s="5">
        <v>1</v>
      </c>
      <c r="I90" s="4">
        <f>PRODUCT(B90:E90)^(1/4)</f>
        <v>1.8612097182041991</v>
      </c>
      <c r="J90" s="4">
        <f>I90/SUM($I$90:$I$93)</f>
        <v>0.3853869776460859</v>
      </c>
      <c r="K90" s="8">
        <f>(B90*$J$90+C90*$J$91+D90*$J$92+E90*$J$93)/J90</f>
        <v>4.010283923310166</v>
      </c>
    </row>
    <row r="91">
      <c r="A91" s="7" t="inlineStr">
        <is>
          <t xml:space="preserve">A2</t>
        </is>
      </c>
      <c r="B91" s="8">
        <f>1/C90</f>
        <v>0.25</v>
      </c>
      <c r="C91" s="8">
        <v>1</v>
      </c>
      <c r="D91" s="5">
        <v>0.5</v>
      </c>
      <c r="E91" s="5">
        <v>0.25</v>
      </c>
      <c r="I91" s="4">
        <f>PRODUCT(B91:E91)^(1/4)</f>
        <v>0.4204482076268573</v>
      </c>
      <c r="J91" s="4">
        <f>I91/SUM($I$90:$I$93)</f>
        <v>0.08705911129153644</v>
      </c>
      <c r="K91" s="8">
        <f>(B91*$J$90+C91*$J$91+D91*$J$92+E91*$J$93)/J91</f>
        <v>4.029860420328369</v>
      </c>
    </row>
    <row r="92">
      <c r="A92" s="7" t="inlineStr">
        <is>
          <t xml:space="preserve">A3</t>
        </is>
      </c>
      <c r="B92" s="8">
        <f>1/D90</f>
        <v>0.3333333333333333</v>
      </c>
      <c r="C92" s="8">
        <f>1/D91</f>
        <v>2</v>
      </c>
      <c r="D92" s="8">
        <v>1</v>
      </c>
      <c r="E92" s="5">
        <v>0.3333333333333333</v>
      </c>
      <c r="I92" s="4">
        <f>PRODUCT(B92:E92)^(1/4)</f>
        <v>0.6865890479690392</v>
      </c>
      <c r="J92" s="4">
        <f>I92/SUM($I$90:$I$93)</f>
        <v>0.14216693341629177</v>
      </c>
      <c r="K92" s="8">
        <f>(B92*$J$90+C92*$J$91+D92*$J$92+E92*$J$93)/J92</f>
        <v>4.031948878611279</v>
      </c>
    </row>
    <row r="93">
      <c r="A93" s="7" t="inlineStr">
        <is>
          <t xml:space="preserve">A4</t>
        </is>
      </c>
      <c r="B93" s="8">
        <f>1/E90</f>
        <v>1</v>
      </c>
      <c r="C93" s="8">
        <f>1/E91</f>
        <v>4</v>
      </c>
      <c r="D93" s="8">
        <f>1/E92</f>
        <v>3</v>
      </c>
      <c r="E93" s="8">
        <v>1</v>
      </c>
      <c r="I93" s="4">
        <f>PRODUCT(B93:E93)^(1/4)</f>
        <v>1.8612097182041991</v>
      </c>
      <c r="J93" s="4">
        <f>I93/SUM($I$90:$I$93)</f>
        <v>0.3853869776460859</v>
      </c>
      <c r="K93" s="8">
        <f>(B93*$J$90+C93*$J$91+D93*$J$92+E93*$J$93)/J93</f>
        <v>4.010283923310166</v>
      </c>
    </row>
    <row r="95">
      <c r="H95" s="7" t="inlineStr">
        <is>
          <t xml:space="preserve">λmax</t>
        </is>
      </c>
      <c r="I95" s="8">
        <f>AVERAGE(K90:K93)</f>
        <v>4.020594286389994</v>
      </c>
    </row>
    <row r="96">
      <c r="H96" s="7" t="inlineStr">
        <is>
          <t xml:space="preserve">CI</t>
        </is>
      </c>
      <c r="I96" s="8">
        <f>MAX(0,(I95-4)/(4-1))</f>
        <v>0.006864762129998129</v>
      </c>
    </row>
    <row r="97">
      <c r="H97" s="7" t="inlineStr">
        <is>
          <t xml:space="preserve">RI</t>
        </is>
      </c>
      <c r="I97" s="8">
        <v>0.9</v>
      </c>
    </row>
    <row r="98">
      <c r="H98" s="7" t="inlineStr">
        <is>
          <t xml:space="preserve">CR</t>
        </is>
      </c>
      <c r="I98" s="8">
        <f>I96/I97</f>
        <v>0.007627513477775699</v>
      </c>
      <c r="J98" s="7" t="inlineStr">
        <is>
          <t xml:space="preserve">CR ≤ 0,10</t>
        </is>
      </c>
      <c r="K98" s="10" t="str">
        <f>IF(I98&lt;=0.1,"OK","ПРОВЕРИТЬ")</f>
        <v>OK</v>
      </c>
    </row>
    <row r="103" ht="27" customHeight="1">
      <c r="A103" s="2" t="inlineStr">
        <is>
          <t xml:space="preserve">Этап 7. K6 — Внешние зависимости MVP | Cost</t>
        </is>
      </c>
    </row>
    <row r="104">
      <c r="A104" s="3" t="inlineStr">
        <is>
          <t xml:space="preserve">Элемент</t>
        </is>
      </c>
      <c r="B104" s="3" t="inlineStr">
        <is>
          <t xml:space="preserve">A1</t>
        </is>
      </c>
      <c r="C104" s="3" t="inlineStr">
        <is>
          <t xml:space="preserve">A2</t>
        </is>
      </c>
      <c r="D104" s="3" t="inlineStr">
        <is>
          <t xml:space="preserve">A3</t>
        </is>
      </c>
      <c r="E104" s="3" t="inlineStr">
        <is>
          <t xml:space="preserve">A4</t>
        </is>
      </c>
      <c r="I104" s="3" t="inlineStr">
        <is>
          <t xml:space="preserve">Средн. геом.</t>
        </is>
      </c>
      <c r="J104" s="3" t="inlineStr">
        <is>
          <t xml:space="preserve">Приоритет</t>
        </is>
      </c>
      <c r="K104" s="3" t="inlineStr">
        <is>
          <t xml:space="preserve">λᵢ</t>
        </is>
      </c>
    </row>
    <row r="105">
      <c r="A105" s="7" t="inlineStr">
        <is>
          <t xml:space="preserve">A1</t>
        </is>
      </c>
      <c r="B105" s="8">
        <v>1</v>
      </c>
      <c r="C105" s="5">
        <v>4</v>
      </c>
      <c r="D105" s="5">
        <v>3</v>
      </c>
      <c r="E105" s="5">
        <v>0.5</v>
      </c>
      <c r="I105" s="4">
        <f>PRODUCT(B105:E105)^(1/4)</f>
        <v>1.5650845800732873</v>
      </c>
      <c r="J105" s="4">
        <f>I105/SUM($I$105:$I$108)</f>
        <v>0.3058878982814293</v>
      </c>
      <c r="K105" s="8">
        <f>(B105*$J$105+C105*$J$106+D105*$J$107+E105*$J$108)/J105</f>
        <v>4.04443878664547</v>
      </c>
    </row>
    <row r="106">
      <c r="A106" s="7" t="inlineStr">
        <is>
          <t xml:space="preserve">A2</t>
        </is>
      </c>
      <c r="B106" s="8">
        <f>1/C105</f>
        <v>0.25</v>
      </c>
      <c r="C106" s="8">
        <v>1</v>
      </c>
      <c r="D106" s="5">
        <v>0.5</v>
      </c>
      <c r="E106" s="5">
        <v>0.2</v>
      </c>
      <c r="I106" s="4">
        <f>PRODUCT(B106:E106)^(1/4)</f>
        <v>0.39763536438352537</v>
      </c>
      <c r="J106" s="4">
        <f>I106/SUM($I$105:$I$108)</f>
        <v>0.07771582919049097</v>
      </c>
      <c r="K106" s="8">
        <f>(B106*$J$105+C106*$J$106+D106*$J$107+E106*$J$108)/J106</f>
        <v>4.052334318644718</v>
      </c>
    </row>
    <row r="107">
      <c r="A107" s="7" t="inlineStr">
        <is>
          <t xml:space="preserve">A3</t>
        </is>
      </c>
      <c r="B107" s="8">
        <f>1/D105</f>
        <v>0.3333333333333333</v>
      </c>
      <c r="C107" s="8">
        <f>1/D106</f>
        <v>2</v>
      </c>
      <c r="D107" s="8">
        <v>1</v>
      </c>
      <c r="E107" s="5">
        <v>0.25</v>
      </c>
      <c r="I107" s="4">
        <f>PRODUCT(B107:E107)^(1/4)</f>
        <v>0.6389431042462724</v>
      </c>
      <c r="J107" s="4">
        <f>I107/SUM($I$105:$I$108)</f>
        <v>0.12487821154697752</v>
      </c>
      <c r="K107" s="8">
        <f>(B107*$J$105+C107*$J$106+D107*$J$107+E107*$J$108)/J107</f>
        <v>4.045157371137399</v>
      </c>
    </row>
    <row r="108">
      <c r="A108" s="7" t="inlineStr">
        <is>
          <t xml:space="preserve">A4</t>
        </is>
      </c>
      <c r="B108" s="8">
        <f>1/E105</f>
        <v>2</v>
      </c>
      <c r="C108" s="8">
        <f>1/E106</f>
        <v>5</v>
      </c>
      <c r="D108" s="8">
        <f>1/E107</f>
        <v>4</v>
      </c>
      <c r="E108" s="8">
        <v>1</v>
      </c>
      <c r="I108" s="4">
        <f>PRODUCT(B108:E108)^(1/4)</f>
        <v>2.5148668593658705</v>
      </c>
      <c r="J108" s="4">
        <f>I108/SUM($I$105:$I$108)</f>
        <v>0.49151806098110234</v>
      </c>
      <c r="K108" s="8">
        <f>(B108*$J$105+C108*$J$106+D108*$J$107+E108*$J$108)/J108</f>
        <v>4.051500865928281</v>
      </c>
    </row>
    <row r="110">
      <c r="H110" s="7" t="inlineStr">
        <is>
          <t xml:space="preserve">λmax</t>
        </is>
      </c>
      <c r="I110" s="8">
        <f>AVERAGE(K105:K108)</f>
        <v>4.048357835588966</v>
      </c>
    </row>
    <row r="111">
      <c r="H111" s="7" t="inlineStr">
        <is>
          <t xml:space="preserve">CI</t>
        </is>
      </c>
      <c r="I111" s="8">
        <f>MAX(0,(I110-4)/(4-1))</f>
        <v>0.016119278529655407</v>
      </c>
    </row>
    <row r="112">
      <c r="H112" s="7" t="inlineStr">
        <is>
          <t xml:space="preserve">RI</t>
        </is>
      </c>
      <c r="I112" s="8">
        <v>0.9</v>
      </c>
    </row>
    <row r="113">
      <c r="H113" s="7" t="inlineStr">
        <is>
          <t xml:space="preserve">CR</t>
        </is>
      </c>
      <c r="I113" s="8">
        <f>I111/I112</f>
        <v>0.017910309477394897</v>
      </c>
      <c r="J113" s="7" t="inlineStr">
        <is>
          <t xml:space="preserve">CR ≤ 0,10</t>
        </is>
      </c>
      <c r="K113" s="10" t="str">
        <f>IF(I113&lt;=0.1,"OK","ПРОВЕРИТЬ")</f>
        <v>OK</v>
      </c>
    </row>
    <row r="118" ht="27" customHeight="1">
      <c r="A118" s="2" t="inlineStr">
        <is>
          <t xml:space="preserve">Этап 8. K7 — Эксплуатация и сопровождение MVP | Cost</t>
        </is>
      </c>
    </row>
    <row r="119">
      <c r="A119" s="3" t="inlineStr">
        <is>
          <t xml:space="preserve">Элемент</t>
        </is>
      </c>
      <c r="B119" s="3" t="inlineStr">
        <is>
          <t xml:space="preserve">A1</t>
        </is>
      </c>
      <c r="C119" s="3" t="inlineStr">
        <is>
          <t xml:space="preserve">A2</t>
        </is>
      </c>
      <c r="D119" s="3" t="inlineStr">
        <is>
          <t xml:space="preserve">A3</t>
        </is>
      </c>
      <c r="E119" s="3" t="inlineStr">
        <is>
          <t xml:space="preserve">A4</t>
        </is>
      </c>
      <c r="I119" s="3" t="inlineStr">
        <is>
          <t xml:space="preserve">Средн. геом.</t>
        </is>
      </c>
      <c r="J119" s="3" t="inlineStr">
        <is>
          <t xml:space="preserve">Приоритет</t>
        </is>
      </c>
      <c r="K119" s="3" t="inlineStr">
        <is>
          <t xml:space="preserve">λᵢ</t>
        </is>
      </c>
    </row>
    <row r="120">
      <c r="A120" s="7" t="inlineStr">
        <is>
          <t xml:space="preserve">A1</t>
        </is>
      </c>
      <c r="B120" s="8">
        <v>1</v>
      </c>
      <c r="C120" s="5">
        <v>4</v>
      </c>
      <c r="D120" s="5">
        <v>3</v>
      </c>
      <c r="E120" s="5">
        <v>0.5</v>
      </c>
      <c r="I120" s="4">
        <f>PRODUCT(B120:E120)^(1/4)</f>
        <v>1.5650845800732873</v>
      </c>
      <c r="J120" s="4">
        <f>I120/SUM($I$120:$I$123)</f>
        <v>0.3058878982814293</v>
      </c>
      <c r="K120" s="8">
        <f>(B120*$J$120+C120*$J$121+D120*$J$122+E120*$J$123)/J120</f>
        <v>4.04443878664547</v>
      </c>
    </row>
    <row r="121">
      <c r="A121" s="7" t="inlineStr">
        <is>
          <t xml:space="preserve">A2</t>
        </is>
      </c>
      <c r="B121" s="8">
        <f>1/C120</f>
        <v>0.25</v>
      </c>
      <c r="C121" s="8">
        <v>1</v>
      </c>
      <c r="D121" s="5">
        <v>0.5</v>
      </c>
      <c r="E121" s="5">
        <v>0.2</v>
      </c>
      <c r="I121" s="4">
        <f>PRODUCT(B121:E121)^(1/4)</f>
        <v>0.39763536438352537</v>
      </c>
      <c r="J121" s="4">
        <f>I121/SUM($I$120:$I$123)</f>
        <v>0.07771582919049097</v>
      </c>
      <c r="K121" s="8">
        <f>(B121*$J$120+C121*$J$121+D121*$J$122+E121*$J$123)/J121</f>
        <v>4.052334318644718</v>
      </c>
    </row>
    <row r="122">
      <c r="A122" s="7" t="inlineStr">
        <is>
          <t xml:space="preserve">A3</t>
        </is>
      </c>
      <c r="B122" s="8">
        <f>1/D120</f>
        <v>0.3333333333333333</v>
      </c>
      <c r="C122" s="8">
        <f>1/D121</f>
        <v>2</v>
      </c>
      <c r="D122" s="8">
        <v>1</v>
      </c>
      <c r="E122" s="5">
        <v>0.25</v>
      </c>
      <c r="I122" s="4">
        <f>PRODUCT(B122:E122)^(1/4)</f>
        <v>0.6389431042462724</v>
      </c>
      <c r="J122" s="4">
        <f>I122/SUM($I$120:$I$123)</f>
        <v>0.12487821154697752</v>
      </c>
      <c r="K122" s="8">
        <f>(B122*$J$120+C122*$J$121+D122*$J$122+E122*$J$123)/J122</f>
        <v>4.045157371137399</v>
      </c>
    </row>
    <row r="123">
      <c r="A123" s="7" t="inlineStr">
        <is>
          <t xml:space="preserve">A4</t>
        </is>
      </c>
      <c r="B123" s="8">
        <f>1/E120</f>
        <v>2</v>
      </c>
      <c r="C123" s="8">
        <f>1/E121</f>
        <v>5</v>
      </c>
      <c r="D123" s="8">
        <f>1/E122</f>
        <v>4</v>
      </c>
      <c r="E123" s="8">
        <v>1</v>
      </c>
      <c r="I123" s="4">
        <f>PRODUCT(B123:E123)^(1/4)</f>
        <v>2.5148668593658705</v>
      </c>
      <c r="J123" s="4">
        <f>I123/SUM($I$120:$I$123)</f>
        <v>0.49151806098110234</v>
      </c>
      <c r="K123" s="8">
        <f>(B123*$J$120+C123*$J$121+D123*$J$122+E123*$J$123)/J123</f>
        <v>4.051500865928281</v>
      </c>
    </row>
    <row r="125">
      <c r="H125" s="7" t="inlineStr">
        <is>
          <t xml:space="preserve">λmax</t>
        </is>
      </c>
      <c r="I125" s="8">
        <f>AVERAGE(K120:K123)</f>
        <v>4.048357835588966</v>
      </c>
    </row>
    <row r="126">
      <c r="H126" s="7" t="inlineStr">
        <is>
          <t xml:space="preserve">CI</t>
        </is>
      </c>
      <c r="I126" s="8">
        <f>MAX(0,(I125-4)/(4-1))</f>
        <v>0.016119278529655407</v>
      </c>
    </row>
    <row r="127">
      <c r="H127" s="7" t="inlineStr">
        <is>
          <t xml:space="preserve">RI</t>
        </is>
      </c>
      <c r="I127" s="8">
        <v>0.9</v>
      </c>
    </row>
    <row r="128">
      <c r="H128" s="7" t="inlineStr">
        <is>
          <t xml:space="preserve">CR</t>
        </is>
      </c>
      <c r="I128" s="8">
        <f>I126/I127</f>
        <v>0.017910309477394897</v>
      </c>
      <c r="J128" s="7" t="inlineStr">
        <is>
          <t xml:space="preserve">CR ≤ 0,10</t>
        </is>
      </c>
      <c r="K128" s="10" t="str">
        <f>IF(I128&lt;=0.1,"OK","ПРОВЕРИТЬ")</f>
        <v>OK</v>
      </c>
    </row>
  </sheetData>
  <mergeCells count="11">
    <mergeCell ref="A1:L1"/>
    <mergeCell ref="A2:L2"/>
    <mergeCell ref="A3:L3"/>
    <mergeCell ref="A7:L7"/>
    <mergeCell ref="A28:L28"/>
    <mergeCell ref="A43:L43"/>
    <mergeCell ref="A58:L58"/>
    <mergeCell ref="A73:L73"/>
    <mergeCell ref="A88:L88"/>
    <mergeCell ref="A103:L103"/>
    <mergeCell ref="A118:L118"/>
  </mergeCells>
</worksheet>
</file>

<file path=xl/worksheets/sheet5.xml><?xml version="1.0" encoding="utf-8"?>
<worksheet xmlns="http://schemas.openxmlformats.org/spreadsheetml/2006/main">
  <dimension ref="A1:L134"/>
  <sheetViews>
    <sheetView workbookViewId="0">
      <pane ySplit="4" topLeftCell="A5" activePane="bottomLeft" state="frozen"/>
    </sheetView>
  </sheetViews>
  <sheetFormatPr defaultRowHeight="19"/>
  <cols>
    <col min="1" max="1" width="37" customWidth="1"/>
    <col min="2" max="8" width="16" customWidth="1"/>
    <col min="9" max="12" width="19" customWidth="1"/>
  </cols>
  <sheetData>
    <row r="1" ht="27" customHeight="1">
      <c r="A1" s="1" t="inlineStr">
        <is>
          <t xml:space="preserve">Фаза 1 — Чёткий коллективный МАИ</t>
        </is>
      </c>
    </row>
    <row r="2" ht="27" customHeight="1">
      <c r="A2" s="3" t="inlineStr">
        <is>
          <t xml:space="preserve">Геометрическое среднее попарных сравнений трёх экспертов; Cost учтены обратным предпочтением.</t>
        </is>
      </c>
    </row>
    <row r="3" ht="27" customHeight="1">
      <c r="A3" s="3" t="inlineStr">
        <is>
          <t xml:space="preserve">Локальные приоритеты и CR вычисляются из агрегированных матриц.</t>
        </is>
      </c>
    </row>
    <row r="7" ht="27" customHeight="1">
      <c r="A7" s="2" t="inlineStr">
        <is>
          <t xml:space="preserve">Этап 1. Веса критериев — матрица 7×7</t>
        </is>
      </c>
    </row>
    <row r="8">
      <c r="A8" s="3" t="inlineStr">
        <is>
          <t xml:space="preserve">Элемент</t>
        </is>
      </c>
      <c r="B8" s="3" t="inlineStr">
        <is>
          <t xml:space="preserve">K1</t>
        </is>
      </c>
      <c r="C8" s="3" t="inlineStr">
        <is>
          <t xml:space="preserve">K2</t>
        </is>
      </c>
      <c r="D8" s="3" t="inlineStr">
        <is>
          <t xml:space="preserve">K3</t>
        </is>
      </c>
      <c r="E8" s="3" t="inlineStr">
        <is>
          <t xml:space="preserve">K4</t>
        </is>
      </c>
      <c r="F8" s="3" t="inlineStr">
        <is>
          <t xml:space="preserve">K5</t>
        </is>
      </c>
      <c r="G8" s="3" t="inlineStr">
        <is>
          <t xml:space="preserve">K6</t>
        </is>
      </c>
      <c r="H8" s="3" t="inlineStr">
        <is>
          <t xml:space="preserve">K7</t>
        </is>
      </c>
      <c r="I8" s="3" t="inlineStr">
        <is>
          <t xml:space="preserve">Средн. геом.</t>
        </is>
      </c>
      <c r="J8" s="3" t="inlineStr">
        <is>
          <t xml:space="preserve">Приоритет</t>
        </is>
      </c>
      <c r="K8" s="3" t="inlineStr">
        <is>
          <t xml:space="preserve">λᵢ</t>
        </is>
      </c>
    </row>
    <row r="9">
      <c r="A9" s="7" t="inlineStr">
        <is>
          <t xml:space="preserve">K1</t>
        </is>
      </c>
      <c r="B9" s="8">
        <f>('Редин'!B9*'Шатков'!B9*'Полищук'!B9)^(1/3)</f>
        <v>1</v>
      </c>
      <c r="C9" s="8">
        <f>('Редин'!C9*'Шатков'!C9*'Полищук'!C9)^(1/3)</f>
        <v>1.8171205928321397</v>
      </c>
      <c r="D9" s="8">
        <f>('Редин'!D9*'Шатков'!D9*'Полищук'!D9)^(1/3)</f>
        <v>2.6207413942088964</v>
      </c>
      <c r="E9" s="8">
        <f>('Редин'!E9*'Шатков'!E9*'Полищук'!E9)^(1/3)</f>
        <v>1.5874010519681994</v>
      </c>
      <c r="F9" s="8">
        <f>('Редин'!F9*'Шатков'!F9*'Полищук'!F9)^(1/3)</f>
        <v>1</v>
      </c>
      <c r="G9" s="8">
        <f>('Редин'!G9*'Шатков'!G9*'Полищук'!G9)^(1/3)</f>
        <v>2.5198420997897464</v>
      </c>
      <c r="H9" s="8">
        <f>('Редин'!H9*'Шатков'!H9*'Полищук'!H9)^(1/3)</f>
        <v>2.8844991406148166</v>
      </c>
      <c r="I9" s="4">
        <f>PRODUCT(B9:H9)^(1/7)</f>
        <v>1.772403576337532</v>
      </c>
      <c r="J9" s="4">
        <f>I9/SUM($I$9:$I$15)</f>
        <v>0.2305841414225648</v>
      </c>
      <c r="K9" s="8">
        <f>(B9*$J$9+C9*$J$10+D9*$J$11+E9*$J$12+F9*$J$13+G9*$J$14+H9*$J$15)/J9</f>
        <v>7.0088976905771245</v>
      </c>
    </row>
    <row r="10">
      <c r="A10" s="7" t="inlineStr">
        <is>
          <t xml:space="preserve">K2</t>
        </is>
      </c>
      <c r="B10" s="8">
        <f>('Редин'!B10*'Шатков'!B10*'Полищук'!B10)^(1/3)</f>
        <v>0.5503212081491045</v>
      </c>
      <c r="C10" s="8">
        <f>('Редин'!C10*'Шатков'!C10*'Полищук'!C10)^(1/3)</f>
        <v>1</v>
      </c>
      <c r="D10" s="8">
        <f>('Редин'!D10*'Шатков'!D10*'Полищук'!D10)^(1/3)</f>
        <v>1.5874010519681994</v>
      </c>
      <c r="E10" s="8">
        <f>('Редин'!E10*'Шатков'!E10*'Полищук'!E10)^(1/3)</f>
        <v>0.7937005259840998</v>
      </c>
      <c r="F10" s="8">
        <f>('Редин'!F10*'Шатков'!F10*'Полищук'!F10)^(1/3)</f>
        <v>0.5503212081491045</v>
      </c>
      <c r="G10" s="8">
        <f>('Редин'!G10*'Шатков'!G10*'Полищук'!G10)^(1/3)</f>
        <v>1.5874010519681994</v>
      </c>
      <c r="H10" s="8">
        <f>('Редин'!H10*'Шатков'!H10*'Полищук'!H10)^(1/3)</f>
        <v>1.8171205928321397</v>
      </c>
      <c r="I10" s="4">
        <f>PRODUCT(B10:H10)^(1/7)</f>
        <v>1.0137934095622025</v>
      </c>
      <c r="J10" s="4">
        <f>I10/SUM($I$9:$I$15)</f>
        <v>0.1318913401240156</v>
      </c>
      <c r="K10" s="8">
        <f>(B10*$J$9+C10*$J$10+D10*$J$11+E10*$J$12+F10*$J$13+G10*$J$14+H10*$J$15)/J10</f>
        <v>7.0058002905391</v>
      </c>
    </row>
    <row r="11">
      <c r="A11" s="7" t="inlineStr">
        <is>
          <t xml:space="preserve">K3</t>
        </is>
      </c>
      <c r="B11" s="8">
        <f>('Редин'!B11*'Шатков'!B11*'Полищук'!B11)^(1/3)</f>
        <v>0.38157141418444396</v>
      </c>
      <c r="C11" s="8">
        <f>('Редин'!C11*'Шатков'!C11*'Полищук'!C11)^(1/3)</f>
        <v>0.6299605249474366</v>
      </c>
      <c r="D11" s="8">
        <f>('Редин'!D11*'Шатков'!D11*'Полищук'!D11)^(1/3)</f>
        <v>1</v>
      </c>
      <c r="E11" s="8">
        <f>('Редин'!E11*'Шатков'!E11*'Полищук'!E11)^(1/3)</f>
        <v>0.5</v>
      </c>
      <c r="F11" s="8">
        <f>('Редин'!F11*'Шатков'!F11*'Полищук'!F11)^(1/3)</f>
        <v>0.3968502629920499</v>
      </c>
      <c r="G11" s="8">
        <f>('Редин'!G11*'Шатков'!G11*'Полищук'!G11)^(1/3)</f>
        <v>1</v>
      </c>
      <c r="H11" s="8">
        <f>('Редин'!H11*'Шатков'!H11*'Полищук'!H11)^(1/3)</f>
        <v>1.2599210498948732</v>
      </c>
      <c r="I11" s="4">
        <f>PRODUCT(B11:H11)^(1/7)</f>
        <v>0.6691862753230171</v>
      </c>
      <c r="J11" s="4">
        <f>I11/SUM($I$9:$I$15)</f>
        <v>0.08705903373653358</v>
      </c>
      <c r="K11" s="8">
        <f>(B11*$J$9+C11*$J$10+D11*$J$11+E11*$J$12+F11*$J$13+G11*$J$14+H11*$J$15)/J11</f>
        <v>7.00825244269696</v>
      </c>
    </row>
    <row r="12">
      <c r="A12" s="7" t="inlineStr">
        <is>
          <t xml:space="preserve">K4</t>
        </is>
      </c>
      <c r="B12" s="8">
        <f>('Редин'!B12*'Шатков'!B12*'Полищук'!B12)^(1/3)</f>
        <v>0.6299605249474366</v>
      </c>
      <c r="C12" s="8">
        <f>('Редин'!C12*'Шатков'!C12*'Полищук'!C12)^(1/3)</f>
        <v>1.2599210498948732</v>
      </c>
      <c r="D12" s="8">
        <f>('Редин'!D12*'Шатков'!D12*'Полищук'!D12)^(1/3)</f>
        <v>2</v>
      </c>
      <c r="E12" s="8">
        <f>('Редин'!E12*'Шатков'!E12*'Полищук'!E12)^(1/3)</f>
        <v>1</v>
      </c>
      <c r="F12" s="8">
        <f>('Редин'!F12*'Шатков'!F12*'Полищук'!F12)^(1/3)</f>
        <v>0.6933612743506347</v>
      </c>
      <c r="G12" s="8">
        <f>('Редин'!G12*'Шатков'!G12*'Полищук'!G12)^(1/3)</f>
        <v>1.8171205928321397</v>
      </c>
      <c r="H12" s="8">
        <f>('Редин'!H12*'Шатков'!H12*'Полищук'!H12)^(1/3)</f>
        <v>2.080083823051904</v>
      </c>
      <c r="I12" s="4">
        <f>PRODUCT(B12:H12)^(1/7)</f>
        <v>1.225869965147837</v>
      </c>
      <c r="J12" s="4">
        <f>I12/SUM($I$9:$I$15)</f>
        <v>0.15948183426340212</v>
      </c>
      <c r="K12" s="8">
        <f>(B12*$J$9+C12*$J$10+D12*$J$11+E12*$J$12+F12*$J$13+G12*$J$14+H12*$J$15)/J12</f>
        <v>7.009710256852737</v>
      </c>
    </row>
    <row r="13">
      <c r="A13" s="7" t="inlineStr">
        <is>
          <t xml:space="preserve">K5</t>
        </is>
      </c>
      <c r="B13" s="8">
        <f>('Редин'!B13*'Шатков'!B13*'Полищук'!B13)^(1/3)</f>
        <v>1</v>
      </c>
      <c r="C13" s="8">
        <f>('Редин'!C13*'Шатков'!C13*'Полищук'!C13)^(1/3)</f>
        <v>1.8171205928321397</v>
      </c>
      <c r="D13" s="8">
        <f>('Редин'!D13*'Шатков'!D13*'Полищук'!D13)^(1/3)</f>
        <v>2.5198420997897464</v>
      </c>
      <c r="E13" s="8">
        <f>('Редин'!E13*'Шатков'!E13*'Полищук'!E13)^(1/3)</f>
        <v>1.4422495703074083</v>
      </c>
      <c r="F13" s="8">
        <f>('Редин'!F13*'Шатков'!F13*'Полищук'!F13)^(1/3)</f>
        <v>1</v>
      </c>
      <c r="G13" s="8">
        <f>('Редин'!G13*'Шатков'!G13*'Полищук'!G13)^(1/3)</f>
        <v>2.6207413942088964</v>
      </c>
      <c r="H13" s="8">
        <f>('Редин'!H13*'Шатков'!H13*'Полищук'!H13)^(1/3)</f>
        <v>3</v>
      </c>
      <c r="I13" s="4">
        <f>PRODUCT(B13:H13)^(1/7)</f>
        <v>1.7581219189752684</v>
      </c>
      <c r="J13" s="4">
        <f>I13/SUM($I$9:$I$15)</f>
        <v>0.22872614263214616</v>
      </c>
      <c r="K13" s="8">
        <f>(B13*$J$9+C13*$J$10+D13*$J$11+E13*$J$12+F13*$J$13+G13*$J$14+H13*$J$15)/J13</f>
        <v>7.002520864261789</v>
      </c>
    </row>
    <row r="14">
      <c r="A14" s="7" t="inlineStr">
        <is>
          <t xml:space="preserve">K6</t>
        </is>
      </c>
      <c r="B14" s="8">
        <f>('Редин'!B14*'Шатков'!B14*'Полищук'!B14)^(1/3)</f>
        <v>0.3968502629920499</v>
      </c>
      <c r="C14" s="8">
        <f>('Редин'!C14*'Шатков'!C14*'Полищук'!C14)^(1/3)</f>
        <v>0.6299605249474366</v>
      </c>
      <c r="D14" s="8">
        <f>('Редин'!D14*'Шатков'!D14*'Полищук'!D14)^(1/3)</f>
        <v>1</v>
      </c>
      <c r="E14" s="8">
        <f>('Редин'!E14*'Шатков'!E14*'Полищук'!E14)^(1/3)</f>
        <v>0.5503212081491045</v>
      </c>
      <c r="F14" s="8">
        <f>('Редин'!F14*'Шатков'!F14*'Полищук'!F14)^(1/3)</f>
        <v>0.38157141418444396</v>
      </c>
      <c r="G14" s="8">
        <f>('Редин'!G14*'Шатков'!G14*'Полищук'!G14)^(1/3)</f>
        <v>1</v>
      </c>
      <c r="H14" s="8">
        <f>('Редин'!H14*'Шатков'!H14*'Полищук'!H14)^(1/3)</f>
        <v>1.2599210498948732</v>
      </c>
      <c r="I14" s="4">
        <f>PRODUCT(B14:H14)^(1/7)</f>
        <v>0.6784166356919523</v>
      </c>
      <c r="J14" s="4">
        <f>I14/SUM($I$9:$I$15)</f>
        <v>0.08825987464495119</v>
      </c>
      <c r="K14" s="8">
        <f>(B14*$J$9+C14*$J$10+D14*$J$11+E14*$J$12+F14*$J$13+G14*$J$14+H14*$J$15)/J14</f>
        <v>7.004149903795884</v>
      </c>
    </row>
    <row r="15">
      <c r="A15" s="7" t="inlineStr">
        <is>
          <t xml:space="preserve">K7</t>
        </is>
      </c>
      <c r="B15" s="8">
        <f>('Редин'!B15*'Шатков'!B15*'Полищук'!B15)^(1/3)</f>
        <v>0.3466806371753174</v>
      </c>
      <c r="C15" s="8">
        <f>('Редин'!C15*'Шатков'!C15*'Полищук'!C15)^(1/3)</f>
        <v>0.5503212081491045</v>
      </c>
      <c r="D15" s="8">
        <f>('Редин'!D15*'Шатков'!D15*'Полищук'!D15)^(1/3)</f>
        <v>0.7937005259840998</v>
      </c>
      <c r="E15" s="8">
        <f>('Редин'!E15*'Шатков'!E15*'Полищук'!E15)^(1/3)</f>
        <v>0.4807498567691361</v>
      </c>
      <c r="F15" s="8">
        <f>('Редин'!F15*'Шатков'!F15*'Полищук'!F15)^(1/3)</f>
        <v>0.33333333333333337</v>
      </c>
      <c r="G15" s="8">
        <f>('Редин'!G15*'Шатков'!G15*'Полищук'!G15)^(1/3)</f>
        <v>0.7937005259840998</v>
      </c>
      <c r="H15" s="8">
        <f>('Редин'!H15*'Шатков'!H15*'Полищук'!H15)^(1/3)</f>
        <v>1</v>
      </c>
      <c r="I15" s="4">
        <f>PRODUCT(B15:H15)^(1/7)</f>
        <v>0.5687887678363375</v>
      </c>
      <c r="J15" s="4">
        <f>I15/SUM($I$9:$I$15)</f>
        <v>0.0739976331763866</v>
      </c>
      <c r="K15" s="8">
        <f>(B15*$J$9+C15*$J$10+D15*$J$11+E15*$J$12+F15*$J$13+G15*$J$14+H15*$J$15)/J15</f>
        <v>7.0081014209387416</v>
      </c>
    </row>
    <row r="17">
      <c r="H17" s="7" t="inlineStr">
        <is>
          <t xml:space="preserve">λmax</t>
        </is>
      </c>
      <c r="I17" s="8">
        <f>AVERAGE(K9:K15)</f>
        <v>7.006776124237477</v>
      </c>
    </row>
    <row r="18">
      <c r="H18" s="7" t="inlineStr">
        <is>
          <t xml:space="preserve">CI</t>
        </is>
      </c>
      <c r="I18" s="8">
        <f>MAX(0,(I17-7)/(7-1))</f>
        <v>0.0011293540395794406</v>
      </c>
    </row>
    <row r="19">
      <c r="H19" s="7" t="inlineStr">
        <is>
          <t xml:space="preserve">RI</t>
        </is>
      </c>
      <c r="I19" s="8">
        <v>1.32</v>
      </c>
    </row>
    <row r="20">
      <c r="H20" s="7" t="inlineStr">
        <is>
          <t xml:space="preserve">CR</t>
        </is>
      </c>
      <c r="I20" s="8">
        <f>I18/I19</f>
        <v>0.0008555712421056368</v>
      </c>
      <c r="J20" s="7" t="inlineStr">
        <is>
          <t xml:space="preserve">CR ≤ 0,10</t>
        </is>
      </c>
      <c r="K20" s="10" t="str">
        <f>IF(I20&lt;=0.1,"OK","ПРОВЕРИТЬ")</f>
        <v>OK</v>
      </c>
    </row>
    <row r="28" ht="27" customHeight="1">
      <c r="A28" s="2" t="inlineStr">
        <is>
          <t xml:space="preserve">Этап 2. K1 — Практическая значимость | Benefit</t>
        </is>
      </c>
    </row>
    <row r="29">
      <c r="A29" s="3" t="inlineStr">
        <is>
          <t xml:space="preserve">Элемент</t>
        </is>
      </c>
      <c r="B29" s="3" t="inlineStr">
        <is>
          <t xml:space="preserve">A1</t>
        </is>
      </c>
      <c r="C29" s="3" t="inlineStr">
        <is>
          <t xml:space="preserve">A2</t>
        </is>
      </c>
      <c r="D29" s="3" t="inlineStr">
        <is>
          <t xml:space="preserve">A3</t>
        </is>
      </c>
      <c r="E29" s="3" t="inlineStr">
        <is>
          <t xml:space="preserve">A4</t>
        </is>
      </c>
      <c r="I29" s="3" t="inlineStr">
        <is>
          <t xml:space="preserve">Средн. геом.</t>
        </is>
      </c>
      <c r="J29" s="3" t="inlineStr">
        <is>
          <t xml:space="preserve">Приоритет</t>
        </is>
      </c>
      <c r="K29" s="3" t="inlineStr">
        <is>
          <t xml:space="preserve">λᵢ</t>
        </is>
      </c>
    </row>
    <row r="30">
      <c r="A30" s="7" t="inlineStr">
        <is>
          <t xml:space="preserve">A1</t>
        </is>
      </c>
      <c r="B30" s="8">
        <f>('Редин'!B30*'Шатков'!B30*'Полищук'!B30)^(1/3)</f>
        <v>1</v>
      </c>
      <c r="C30" s="8">
        <f>('Редин'!C30*'Шатков'!C30*'Полищук'!C30)^(1/3)</f>
        <v>1</v>
      </c>
      <c r="D30" s="8">
        <f>('Редин'!D30*'Шатков'!D30*'Полищук'!D30)^(1/3)</f>
        <v>0.6299605249474366</v>
      </c>
      <c r="E30" s="8">
        <f>('Редин'!E30*'Шатков'!E30*'Полищук'!E30)^(1/3)</f>
        <v>2.8844991406148166</v>
      </c>
      <c r="I30" s="4">
        <f>PRODUCT(B30:E30)^(1/4)</f>
        <v>1.1610366723739942</v>
      </c>
      <c r="J30" s="4">
        <f>I30/SUM($I$30:$I$33)</f>
        <v>0.2582725647717725</v>
      </c>
      <c r="K30" s="8">
        <f>(B30*$J$30+C30*$J$31+D30*$J$32+E30*$J$33)/J30</f>
        <v>4.002852956656553</v>
      </c>
    </row>
    <row r="31">
      <c r="A31" s="7" t="inlineStr">
        <is>
          <t xml:space="preserve">A2</t>
        </is>
      </c>
      <c r="B31" s="8">
        <f>('Редин'!B31*'Шатков'!B31*'Полищук'!B31)^(1/3)</f>
        <v>1</v>
      </c>
      <c r="C31" s="8">
        <f>('Редин'!C31*'Шатков'!C31*'Полищук'!C31)^(1/3)</f>
        <v>1</v>
      </c>
      <c r="D31" s="8">
        <f>('Редин'!D31*'Шатков'!D31*'Полищук'!D31)^(1/3)</f>
        <v>0.6299605249474366</v>
      </c>
      <c r="E31" s="8">
        <f>('Редин'!E31*'Шатков'!E31*'Полищук'!E31)^(1/3)</f>
        <v>3</v>
      </c>
      <c r="I31" s="4">
        <f>PRODUCT(B31:E31)^(1/4)</f>
        <v>1.172488651117188</v>
      </c>
      <c r="J31" s="4">
        <f>I31/SUM($I$30:$I$33)</f>
        <v>0.2608200570190835</v>
      </c>
      <c r="K31" s="8">
        <f>(B31*$J$30+C31*$J$31+D31*$J$32+E31*$J$33)/J31</f>
        <v>4.005354393502158</v>
      </c>
    </row>
    <row r="32">
      <c r="A32" s="7" t="inlineStr">
        <is>
          <t xml:space="preserve">A3</t>
        </is>
      </c>
      <c r="B32" s="8">
        <f>('Редин'!B32*'Шатков'!B32*'Полищук'!B32)^(1/3)</f>
        <v>1.5874010519681994</v>
      </c>
      <c r="C32" s="8">
        <f>('Редин'!C32*'Шатков'!C32*'Полищук'!C32)^(1/3)</f>
        <v>1.5874010519681994</v>
      </c>
      <c r="D32" s="8">
        <f>('Редин'!D32*'Шатков'!D32*'Полищук'!D32)^(1/3)</f>
        <v>1</v>
      </c>
      <c r="E32" s="8">
        <f>('Редин'!E32*'Шатков'!E32*'Полищук'!E32)^(1/3)</f>
        <v>3.634241185664279</v>
      </c>
      <c r="I32" s="4">
        <f>PRODUCT(B32:E32)^(1/4)</f>
        <v>1.7395894627313087</v>
      </c>
      <c r="J32" s="4">
        <f>I32/SUM($I$30:$I$33)</f>
        <v>0.38697161156063786</v>
      </c>
      <c r="K32" s="8">
        <f>(B32*$J$30+C32*$J$31+D32*$J$32+E32*$J$33)/J32</f>
        <v>4.0115733843128965</v>
      </c>
    </row>
    <row r="33">
      <c r="A33" s="7" t="inlineStr">
        <is>
          <t xml:space="preserve">A4</t>
        </is>
      </c>
      <c r="B33" s="8">
        <f>('Редин'!B33*'Шатков'!B33*'Полищук'!B33)^(1/3)</f>
        <v>0.3466806371753174</v>
      </c>
      <c r="C33" s="8">
        <f>('Редин'!C33*'Шатков'!C33*'Полищук'!C33)^(1/3)</f>
        <v>0.33333333333333337</v>
      </c>
      <c r="D33" s="8">
        <f>('Редин'!D33*'Шатков'!D33*'Полищук'!D33)^(1/3)</f>
        <v>0.27516060407455223</v>
      </c>
      <c r="E33" s="8">
        <f>('Редин'!E33*'Шатков'!E33*'Полищук'!E33)^(1/3)</f>
        <v>1</v>
      </c>
      <c r="I33" s="4">
        <f>PRODUCT(B33:E33)^(1/4)</f>
        <v>0.422278185152407</v>
      </c>
      <c r="J33" s="4">
        <f>I33/SUM($I$30:$I$33)</f>
        <v>0.09393576664850613</v>
      </c>
      <c r="K33" s="8">
        <f>(B33*$J$30+C33*$J$31+D33*$J$32+E33*$J$33)/J33</f>
        <v>4.012244098479082</v>
      </c>
    </row>
    <row r="35">
      <c r="H35" s="7" t="inlineStr">
        <is>
          <t xml:space="preserve">λmax</t>
        </is>
      </c>
      <c r="I35" s="8">
        <f>AVERAGE(K30:K33)</f>
        <v>4.008006208237672</v>
      </c>
    </row>
    <row r="36">
      <c r="H36" s="7" t="inlineStr">
        <is>
          <t xml:space="preserve">CI</t>
        </is>
      </c>
      <c r="I36" s="8">
        <f>MAX(0,(I35-4)/(4-1))</f>
        <v>0.002668736079224132</v>
      </c>
    </row>
    <row r="37">
      <c r="H37" s="7" t="inlineStr">
        <is>
          <t xml:space="preserve">RI</t>
        </is>
      </c>
      <c r="I37" s="8">
        <v>0.9</v>
      </c>
    </row>
    <row r="38">
      <c r="H38" s="7" t="inlineStr">
        <is>
          <t xml:space="preserve">CR</t>
        </is>
      </c>
      <c r="I38" s="8">
        <f>I36/I37</f>
        <v>0.0029652623102490354</v>
      </c>
      <c r="J38" s="7" t="inlineStr">
        <is>
          <t xml:space="preserve">CR ≤ 0,10</t>
        </is>
      </c>
      <c r="K38" s="10" t="str">
        <f>IF(I38&lt;=0.1,"OK","ПРОВЕРИТЬ")</f>
        <v>OK</v>
      </c>
    </row>
    <row r="43" ht="27" customHeight="1">
      <c r="A43" s="2" t="inlineStr">
        <is>
          <t xml:space="preserve">Этап 3. K2 — Функциональная содержательность | Benefit</t>
        </is>
      </c>
    </row>
    <row r="44">
      <c r="A44" s="3" t="inlineStr">
        <is>
          <t xml:space="preserve">Элемент</t>
        </is>
      </c>
      <c r="B44" s="3" t="inlineStr">
        <is>
          <t xml:space="preserve">A1</t>
        </is>
      </c>
      <c r="C44" s="3" t="inlineStr">
        <is>
          <t xml:space="preserve">A2</t>
        </is>
      </c>
      <c r="D44" s="3" t="inlineStr">
        <is>
          <t xml:space="preserve">A3</t>
        </is>
      </c>
      <c r="E44" s="3" t="inlineStr">
        <is>
          <t xml:space="preserve">A4</t>
        </is>
      </c>
      <c r="I44" s="3" t="inlineStr">
        <is>
          <t xml:space="preserve">Средн. геом.</t>
        </is>
      </c>
      <c r="J44" s="3" t="inlineStr">
        <is>
          <t xml:space="preserve">Приоритет</t>
        </is>
      </c>
      <c r="K44" s="3" t="inlineStr">
        <is>
          <t xml:space="preserve">λᵢ</t>
        </is>
      </c>
    </row>
    <row r="45">
      <c r="A45" s="7" t="inlineStr">
        <is>
          <t xml:space="preserve">A1</t>
        </is>
      </c>
      <c r="B45" s="8">
        <f>('Редин'!B45*'Шатков'!B45*'Полищук'!B45)^(1/3)</f>
        <v>1</v>
      </c>
      <c r="C45" s="8">
        <f>('Редин'!C45*'Шатков'!C45*'Полищук'!C45)^(1/3)</f>
        <v>0.6299605249474366</v>
      </c>
      <c r="D45" s="8">
        <f>('Редин'!D45*'Шатков'!D45*'Полищук'!D45)^(1/3)</f>
        <v>0.6299605249474366</v>
      </c>
      <c r="E45" s="8">
        <f>('Редин'!E45*'Шатков'!E45*'Полищук'!E45)^(1/3)</f>
        <v>2.6207413942088964</v>
      </c>
      <c r="I45" s="4">
        <f>PRODUCT(B45:E45)^(1/4)</f>
        <v>1.0098635805532115</v>
      </c>
      <c r="J45" s="4">
        <f>I45/SUM($I$45:$I$48)</f>
        <v>0.2259931139477152</v>
      </c>
      <c r="K45" s="8">
        <f>(B45*$J$45+C45*$J$46+D45*$J$47+E45*$J$48)/J45</f>
        <v>4.010210673672761</v>
      </c>
    </row>
    <row r="46">
      <c r="A46" s="7" t="inlineStr">
        <is>
          <t xml:space="preserve">A2</t>
        </is>
      </c>
      <c r="B46" s="8">
        <f>('Редин'!B46*'Шатков'!B46*'Полищук'!B46)^(1/3)</f>
        <v>1.5874010519681994</v>
      </c>
      <c r="C46" s="8">
        <f>('Редин'!C46*'Шатков'!C46*'Полищук'!C46)^(1/3)</f>
        <v>1</v>
      </c>
      <c r="D46" s="8">
        <f>('Редин'!D46*'Шатков'!D46*'Полищук'!D46)^(1/3)</f>
        <v>1</v>
      </c>
      <c r="E46" s="8">
        <f>('Редин'!E46*'Шатков'!E46*'Полищук'!E46)^(1/3)</f>
        <v>3.3019272488946263</v>
      </c>
      <c r="I46" s="4">
        <f>PRODUCT(B46:E46)^(1/4)</f>
        <v>1.5130857494229015</v>
      </c>
      <c r="J46" s="4">
        <f>I46/SUM($I$45:$I$48)</f>
        <v>0.33860708195326</v>
      </c>
      <c r="K46" s="8">
        <f>(B46*$J$45+C46*$J$46+D46*$J$47+E46*$J$48)/J46</f>
        <v>4.003337407040989</v>
      </c>
    </row>
    <row r="47">
      <c r="A47" s="7" t="inlineStr">
        <is>
          <t xml:space="preserve">A3</t>
        </is>
      </c>
      <c r="B47" s="8">
        <f>('Редин'!B47*'Шатков'!B47*'Полищук'!B47)^(1/3)</f>
        <v>1.5874010519681994</v>
      </c>
      <c r="C47" s="8">
        <f>('Редин'!C47*'Шатков'!C47*'Полищук'!C47)^(1/3)</f>
        <v>1</v>
      </c>
      <c r="D47" s="8">
        <f>('Редин'!D47*'Шатков'!D47*'Полищук'!D47)^(1/3)</f>
        <v>1</v>
      </c>
      <c r="E47" s="8">
        <f>('Редин'!E47*'Шатков'!E47*'Полищук'!E47)^(1/3)</f>
        <v>3.3019272488946263</v>
      </c>
      <c r="I47" s="4">
        <f>PRODUCT(B47:E47)^(1/4)</f>
        <v>1.5130857494229015</v>
      </c>
      <c r="J47" s="4">
        <f>I47/SUM($I$45:$I$48)</f>
        <v>0.33860708195326</v>
      </c>
      <c r="K47" s="8">
        <f>(B47*$J$45+C47*$J$46+D47*$J$47+E47*$J$48)/J47</f>
        <v>4.003337407040989</v>
      </c>
    </row>
    <row r="48">
      <c r="A48" s="7" t="inlineStr">
        <is>
          <t xml:space="preserve">A4</t>
        </is>
      </c>
      <c r="B48" s="8">
        <f>('Редин'!B48*'Шатков'!B48*'Полищук'!B48)^(1/3)</f>
        <v>0.38157141418444396</v>
      </c>
      <c r="C48" s="8">
        <f>('Редин'!C48*'Шатков'!C48*'Полищук'!C48)^(1/3)</f>
        <v>0.30285343213869</v>
      </c>
      <c r="D48" s="8">
        <f>('Редин'!D48*'Шатков'!D48*'Полищук'!D48)^(1/3)</f>
        <v>0.30285343213869</v>
      </c>
      <c r="E48" s="8">
        <f>('Редин'!E48*'Шатков'!E48*'Полищук'!E48)^(1/3)</f>
        <v>1</v>
      </c>
      <c r="I48" s="4">
        <f>PRODUCT(B48:E48)^(1/4)</f>
        <v>0.4325239970817368</v>
      </c>
      <c r="J48" s="4">
        <f>I48/SUM($I$45:$I$48)</f>
        <v>0.09679272214576481</v>
      </c>
      <c r="K48" s="8">
        <f>(B48*$J$45+C48*$J$46+D48*$J$47+E48*$J$48)/J48</f>
        <v>4.009824906858929</v>
      </c>
    </row>
    <row r="50">
      <c r="H50" s="7" t="inlineStr">
        <is>
          <t xml:space="preserve">λmax</t>
        </is>
      </c>
      <c r="I50" s="8">
        <f>AVERAGE(K45:K48)</f>
        <v>4.006677598653416</v>
      </c>
    </row>
    <row r="51">
      <c r="H51" s="7" t="inlineStr">
        <is>
          <t xml:space="preserve">CI</t>
        </is>
      </c>
      <c r="I51" s="8">
        <f>MAX(0,(I50-4)/(4-1))</f>
        <v>0.0022258662178054798</v>
      </c>
    </row>
    <row r="52">
      <c r="H52" s="7" t="inlineStr">
        <is>
          <t xml:space="preserve">RI</t>
        </is>
      </c>
      <c r="I52" s="8">
        <v>0.9</v>
      </c>
    </row>
    <row r="53">
      <c r="H53" s="7" t="inlineStr">
        <is>
          <t xml:space="preserve">CR</t>
        </is>
      </c>
      <c r="I53" s="8">
        <f>I51/I52</f>
        <v>0.002473184686450533</v>
      </c>
      <c r="J53" s="7" t="inlineStr">
        <is>
          <t xml:space="preserve">CR ≤ 0,10</t>
        </is>
      </c>
      <c r="K53" s="10" t="str">
        <f>IF(I53&lt;=0.1,"OK","ПРОВЕРИТЬ")</f>
        <v>OK</v>
      </c>
    </row>
    <row r="58" ht="27" customHeight="1">
      <c r="A58" s="2" t="inlineStr">
        <is>
          <t xml:space="preserve">Этап 4. K3 — Потенциал интеграции и развития | Benefit</t>
        </is>
      </c>
    </row>
    <row r="59">
      <c r="A59" s="3" t="inlineStr">
        <is>
          <t xml:space="preserve">Элемент</t>
        </is>
      </c>
      <c r="B59" s="3" t="inlineStr">
        <is>
          <t xml:space="preserve">A1</t>
        </is>
      </c>
      <c r="C59" s="3" t="inlineStr">
        <is>
          <t xml:space="preserve">A2</t>
        </is>
      </c>
      <c r="D59" s="3" t="inlineStr">
        <is>
          <t xml:space="preserve">A3</t>
        </is>
      </c>
      <c r="E59" s="3" t="inlineStr">
        <is>
          <t xml:space="preserve">A4</t>
        </is>
      </c>
      <c r="I59" s="3" t="inlineStr">
        <is>
          <t xml:space="preserve">Средн. геом.</t>
        </is>
      </c>
      <c r="J59" s="3" t="inlineStr">
        <is>
          <t xml:space="preserve">Приоритет</t>
        </is>
      </c>
      <c r="K59" s="3" t="inlineStr">
        <is>
          <t xml:space="preserve">λᵢ</t>
        </is>
      </c>
    </row>
    <row r="60">
      <c r="A60" s="7" t="inlineStr">
        <is>
          <t xml:space="preserve">A1</t>
        </is>
      </c>
      <c r="B60" s="8">
        <f>('Редин'!B60*'Шатков'!B60*'Полищук'!B60)^(1/3)</f>
        <v>1</v>
      </c>
      <c r="C60" s="8">
        <f>('Редин'!C60*'Шатков'!C60*'Полищук'!C60)^(1/3)</f>
        <v>0.33333333333333337</v>
      </c>
      <c r="D60" s="8">
        <f>('Редин'!D60*'Шатков'!D60*'Полищук'!D60)^(1/3)</f>
        <v>0.43679023236814946</v>
      </c>
      <c r="E60" s="8">
        <f>('Редин'!E60*'Шатков'!E60*'Полищук'!E60)^(1/3)</f>
        <v>2.2894284851066637</v>
      </c>
      <c r="I60" s="4">
        <f>PRODUCT(B60:E60)^(1/4)</f>
        <v>0.7598356856515925</v>
      </c>
      <c r="J60" s="4">
        <f>I60/SUM($I$60:$I$63)</f>
        <v>0.15797192121834489</v>
      </c>
      <c r="K60" s="8">
        <f>(B60*$J$60+C60*$J$61+D60*$J$62+E60*$J$63)/J60</f>
        <v>4.034832484096854</v>
      </c>
    </row>
    <row r="61">
      <c r="A61" s="7" t="inlineStr">
        <is>
          <t xml:space="preserve">A2</t>
        </is>
      </c>
      <c r="B61" s="8">
        <f>('Редин'!B61*'Шатков'!B61*'Полищук'!B61)^(1/3)</f>
        <v>3</v>
      </c>
      <c r="C61" s="8">
        <f>('Редин'!C61*'Шатков'!C61*'Полищук'!C61)^(1/3)</f>
        <v>1</v>
      </c>
      <c r="D61" s="8">
        <f>('Редин'!D61*'Шатков'!D61*'Полищук'!D61)^(1/3)</f>
        <v>1.5874010519681994</v>
      </c>
      <c r="E61" s="8">
        <f>('Редин'!E61*'Шатков'!E61*'Полищук'!E61)^(1/3)</f>
        <v>4.308869380063767</v>
      </c>
      <c r="I61" s="4">
        <f>PRODUCT(B61:E61)^(1/4)</f>
        <v>2.128348843973986</v>
      </c>
      <c r="J61" s="4">
        <f>I61/SUM($I$60:$I$63)</f>
        <v>0.4424895569587404</v>
      </c>
      <c r="K61" s="8">
        <f>(B61*$J$60+C61*$J$61+D61*$J$62+E61*$J$63)/J61</f>
        <v>4.0268964191437515</v>
      </c>
    </row>
    <row r="62">
      <c r="A62" s="7" t="inlineStr">
        <is>
          <t xml:space="preserve">A3</t>
        </is>
      </c>
      <c r="B62" s="8">
        <f>('Редин'!B62*'Шатков'!B62*'Полищук'!B62)^(1/3)</f>
        <v>2.2894284851066637</v>
      </c>
      <c r="C62" s="8">
        <f>('Редин'!C62*'Шатков'!C62*'Полищук'!C62)^(1/3)</f>
        <v>0.6299605249474366</v>
      </c>
      <c r="D62" s="8">
        <f>('Редин'!D62*'Шатков'!D62*'Полищук'!D62)^(1/3)</f>
        <v>1</v>
      </c>
      <c r="E62" s="8">
        <f>('Редин'!E62*'Шатков'!E62*'Полищук'!E62)^(1/3)</f>
        <v>3.634241185664279</v>
      </c>
      <c r="I62" s="4">
        <f>PRODUCT(B62:E62)^(1/4)</f>
        <v>1.5130857494229015</v>
      </c>
      <c r="J62" s="4">
        <f>I62/SUM($I$60:$I$63)</f>
        <v>0.3145746736012542</v>
      </c>
      <c r="K62" s="8">
        <f>(B62*$J$60+C62*$J$61+D62*$J$62+E62*$J$63)/J62</f>
        <v>4.017393217016101</v>
      </c>
    </row>
    <row r="63">
      <c r="A63" s="7" t="inlineStr">
        <is>
          <t xml:space="preserve">A4</t>
        </is>
      </c>
      <c r="B63" s="8">
        <f>('Редин'!B63*'Шатков'!B63*'Полищук'!B63)^(1/3)</f>
        <v>0.43679023236814946</v>
      </c>
      <c r="C63" s="8">
        <f>('Редин'!C63*'Шатков'!C63*'Полищук'!C63)^(1/3)</f>
        <v>0.23207944168063896</v>
      </c>
      <c r="D63" s="8">
        <f>('Редин'!D63*'Шатков'!D63*'Полищук'!D63)^(1/3)</f>
        <v>0.27516060407455223</v>
      </c>
      <c r="E63" s="8">
        <f>('Редин'!E63*'Шатков'!E63*'Полищук'!E63)^(1/3)</f>
        <v>1</v>
      </c>
      <c r="I63" s="4">
        <f>PRODUCT(B63:E63)^(1/4)</f>
        <v>0.4086711320037184</v>
      </c>
      <c r="J63" s="4">
        <f>I63/SUM($I$60:$I$63)</f>
        <v>0.08496384822166048</v>
      </c>
      <c r="K63" s="8">
        <f>(B63*$J$60+C63*$J$61+D63*$J$62+E63*$J$63)/J63</f>
        <v>4.039550163100307</v>
      </c>
    </row>
    <row r="65">
      <c r="H65" s="7" t="inlineStr">
        <is>
          <t xml:space="preserve">λmax</t>
        </is>
      </c>
      <c r="I65" s="8">
        <f>AVERAGE(K60:K63)</f>
        <v>4.029668070839254</v>
      </c>
    </row>
    <row r="66">
      <c r="H66" s="7" t="inlineStr">
        <is>
          <t xml:space="preserve">CI</t>
        </is>
      </c>
      <c r="I66" s="8">
        <f>MAX(0,(I65-4)/(4-1))</f>
        <v>0.009889356946417868</v>
      </c>
    </row>
    <row r="67">
      <c r="H67" s="7" t="inlineStr">
        <is>
          <t xml:space="preserve">RI</t>
        </is>
      </c>
      <c r="I67" s="8">
        <v>0.9</v>
      </c>
    </row>
    <row r="68">
      <c r="H68" s="7" t="inlineStr">
        <is>
          <t xml:space="preserve">CR</t>
        </is>
      </c>
      <c r="I68" s="8">
        <f>I66/I67</f>
        <v>0.010988174384908742</v>
      </c>
      <c r="J68" s="7" t="inlineStr">
        <is>
          <t xml:space="preserve">CR ≤ 0,10</t>
        </is>
      </c>
      <c r="K68" s="10" t="str">
        <f>IF(I68&lt;=0.1,"OK","ПРОВЕРИТЬ")</f>
        <v>OK</v>
      </c>
    </row>
    <row r="73" ht="27" customHeight="1">
      <c r="A73" s="2" t="inlineStr">
        <is>
          <t xml:space="preserve">Этап 5. K4 — Демонстрационная и исследовательская ценность | Benefit</t>
        </is>
      </c>
    </row>
    <row r="74">
      <c r="A74" s="3" t="inlineStr">
        <is>
          <t xml:space="preserve">Элемент</t>
        </is>
      </c>
      <c r="B74" s="3" t="inlineStr">
        <is>
          <t xml:space="preserve">A1</t>
        </is>
      </c>
      <c r="C74" s="3" t="inlineStr">
        <is>
          <t xml:space="preserve">A2</t>
        </is>
      </c>
      <c r="D74" s="3" t="inlineStr">
        <is>
          <t xml:space="preserve">A3</t>
        </is>
      </c>
      <c r="E74" s="3" t="inlineStr">
        <is>
          <t xml:space="preserve">A4</t>
        </is>
      </c>
      <c r="I74" s="3" t="inlineStr">
        <is>
          <t xml:space="preserve">Средн. геом.</t>
        </is>
      </c>
      <c r="J74" s="3" t="inlineStr">
        <is>
          <t xml:space="preserve">Приоритет</t>
        </is>
      </c>
      <c r="K74" s="3" t="inlineStr">
        <is>
          <t xml:space="preserve">λᵢ</t>
        </is>
      </c>
    </row>
    <row r="75">
      <c r="A75" s="7" t="inlineStr">
        <is>
          <t xml:space="preserve">A1</t>
        </is>
      </c>
      <c r="B75" s="8">
        <f>('Редин'!B75*'Шатков'!B75*'Полищук'!B75)^(1/3)</f>
        <v>1</v>
      </c>
      <c r="C75" s="8">
        <f>('Редин'!C75*'Шатков'!C75*'Полищук'!C75)^(1/3)</f>
        <v>2.2894284851066637</v>
      </c>
      <c r="D75" s="8">
        <f>('Редин'!D75*'Шатков'!D75*'Полищук'!D75)^(1/3)</f>
        <v>1.5874010519681994</v>
      </c>
      <c r="E75" s="8">
        <f>('Редин'!E75*'Шатков'!E75*'Полищук'!E75)^(1/3)</f>
        <v>2.8844991406148166</v>
      </c>
      <c r="I75" s="4">
        <f>PRODUCT(B75:E75)^(1/4)</f>
        <v>1.799372338822939</v>
      </c>
      <c r="J75" s="4">
        <f>I75/SUM($I$75:$I$78)</f>
        <v>0.4091197715559432</v>
      </c>
      <c r="K75" s="8">
        <f>(B75*$J$75+C75*$J$76+D75*$J$77+E75*$J$78)/J75</f>
        <v>4.010433840178398</v>
      </c>
    </row>
    <row r="76">
      <c r="A76" s="7" t="inlineStr">
        <is>
          <t xml:space="preserve">A2</t>
        </is>
      </c>
      <c r="B76" s="8">
        <f>('Редин'!B76*'Шатков'!B76*'Полищук'!B76)^(1/3)</f>
        <v>0.43679023236814946</v>
      </c>
      <c r="C76" s="8">
        <f>('Редин'!C76*'Шатков'!C76*'Полищук'!C76)^(1/3)</f>
        <v>1</v>
      </c>
      <c r="D76" s="8">
        <f>('Редин'!D76*'Шатков'!D76*'Полищук'!D76)^(1/3)</f>
        <v>0.6299605249474366</v>
      </c>
      <c r="E76" s="8">
        <f>('Редин'!E76*'Шатков'!E76*'Полищук'!E76)^(1/3)</f>
        <v>1.5874010519681994</v>
      </c>
      <c r="I76" s="4">
        <f>PRODUCT(B76:E76)^(1/4)</f>
        <v>0.8129582253002701</v>
      </c>
      <c r="J76" s="4">
        <f>I76/SUM($I$75:$I$78)</f>
        <v>0.1848407226471761</v>
      </c>
      <c r="K76" s="8">
        <f>(B76*$J$75+C76*$J$76+D76*$J$77+E76*$J$78)/J76</f>
        <v>4.005129037630145</v>
      </c>
    </row>
    <row r="77">
      <c r="A77" s="7" t="inlineStr">
        <is>
          <t xml:space="preserve">A3</t>
        </is>
      </c>
      <c r="B77" s="8">
        <f>('Редин'!B77*'Шатков'!B77*'Полищук'!B77)^(1/3)</f>
        <v>0.6299605249474366</v>
      </c>
      <c r="C77" s="8">
        <f>('Редин'!C77*'Шатков'!C77*'Полищук'!C77)^(1/3)</f>
        <v>1.5874010519681994</v>
      </c>
      <c r="D77" s="8">
        <f>('Редин'!D77*'Шатков'!D77*'Полищук'!D77)^(1/3)</f>
        <v>1</v>
      </c>
      <c r="E77" s="8">
        <f>('Редин'!E77*'Шатков'!E77*'Полищук'!E77)^(1/3)</f>
        <v>2.2894284851066637</v>
      </c>
      <c r="I77" s="4">
        <f>PRODUCT(B77:E77)^(1/4)</f>
        <v>1.2300755055779713</v>
      </c>
      <c r="J77" s="4">
        <f>I77/SUM($I$75:$I$78)</f>
        <v>0.2796798633504732</v>
      </c>
      <c r="K77" s="8">
        <f>(B77*$J$75+C77*$J$76+D77*$J$77+E77*$J$78)/J77</f>
        <v>4.004996564103633</v>
      </c>
    </row>
    <row r="78">
      <c r="A78" s="7" t="inlineStr">
        <is>
          <t xml:space="preserve">A4</t>
        </is>
      </c>
      <c r="B78" s="8">
        <f>('Редин'!B78*'Шатков'!B78*'Полищук'!B78)^(1/3)</f>
        <v>0.3466806371753174</v>
      </c>
      <c r="C78" s="8">
        <f>('Редин'!C78*'Шатков'!C78*'Полищук'!C78)^(1/3)</f>
        <v>0.6299605249474366</v>
      </c>
      <c r="D78" s="8">
        <f>('Редин'!D78*'Шатков'!D78*'Полищук'!D78)^(1/3)</f>
        <v>0.43679023236814946</v>
      </c>
      <c r="E78" s="8">
        <f>('Редин'!E78*'Шатков'!E78*'Полищук'!E78)^(1/3)</f>
        <v>1</v>
      </c>
      <c r="I78" s="4">
        <f>PRODUCT(B78:E78)^(1/4)</f>
        <v>0.5557493457158239</v>
      </c>
      <c r="J78" s="4">
        <f>I78/SUM($I$75:$I$78)</f>
        <v>0.1263596424464076</v>
      </c>
      <c r="K78" s="8">
        <f>(B78*$J$75+C78*$J$76+D78*$J$77+E78*$J$78)/J78</f>
        <v>4.010753171586507</v>
      </c>
    </row>
    <row r="80">
      <c r="H80" s="7" t="inlineStr">
        <is>
          <t xml:space="preserve">λmax</t>
        </is>
      </c>
      <c r="I80" s="8">
        <f>AVERAGE(K75:K78)</f>
        <v>4.007828153374671</v>
      </c>
    </row>
    <row r="81">
      <c r="H81" s="7" t="inlineStr">
        <is>
          <t xml:space="preserve">CI</t>
        </is>
      </c>
      <c r="I81" s="8">
        <f>MAX(0,(I80-4)/(4-1))</f>
        <v>0.0026093844582237105</v>
      </c>
    </row>
    <row r="82">
      <c r="H82" s="7" t="inlineStr">
        <is>
          <t xml:space="preserve">RI</t>
        </is>
      </c>
      <c r="I82" s="8">
        <v>0.9</v>
      </c>
    </row>
    <row r="83">
      <c r="H83" s="7" t="inlineStr">
        <is>
          <t xml:space="preserve">CR</t>
        </is>
      </c>
      <c r="I83" s="8">
        <f>I81/I82</f>
        <v>0.0028993160646930117</v>
      </c>
      <c r="J83" s="7" t="inlineStr">
        <is>
          <t xml:space="preserve">CR ≤ 0,10</t>
        </is>
      </c>
      <c r="K83" s="10" t="str">
        <f>IF(I83&lt;=0.1,"OK","ПРОВЕРИТЬ")</f>
        <v>OK</v>
      </c>
    </row>
    <row r="88" ht="27" customHeight="1">
      <c r="A88" s="2" t="inlineStr">
        <is>
          <t xml:space="preserve">Этап 6. K5 — Трудоёмкость реализации MVP | Cost</t>
        </is>
      </c>
    </row>
    <row r="89">
      <c r="A89" s="3" t="inlineStr">
        <is>
          <t xml:space="preserve">Элемент</t>
        </is>
      </c>
      <c r="B89" s="3" t="inlineStr">
        <is>
          <t xml:space="preserve">A1</t>
        </is>
      </c>
      <c r="C89" s="3" t="inlineStr">
        <is>
          <t xml:space="preserve">A2</t>
        </is>
      </c>
      <c r="D89" s="3" t="inlineStr">
        <is>
          <t xml:space="preserve">A3</t>
        </is>
      </c>
      <c r="E89" s="3" t="inlineStr">
        <is>
          <t xml:space="preserve">A4</t>
        </is>
      </c>
      <c r="I89" s="3" t="inlineStr">
        <is>
          <t xml:space="preserve">Средн. геом.</t>
        </is>
      </c>
      <c r="J89" s="3" t="inlineStr">
        <is>
          <t xml:space="preserve">Приоритет</t>
        </is>
      </c>
      <c r="K89" s="3" t="inlineStr">
        <is>
          <t xml:space="preserve">λᵢ</t>
        </is>
      </c>
    </row>
    <row r="90">
      <c r="A90" s="7" t="inlineStr">
        <is>
          <t xml:space="preserve">A1</t>
        </is>
      </c>
      <c r="B90" s="8">
        <f>('Редин'!B90*'Шатков'!B90*'Полищук'!B90)^(1/3)</f>
        <v>1</v>
      </c>
      <c r="C90" s="8">
        <f>('Редин'!C90*'Шатков'!C90*'Полищук'!C90)^(1/3)</f>
        <v>3.634241185664279</v>
      </c>
      <c r="D90" s="8">
        <f>('Редин'!D90*'Шатков'!D90*'Полищук'!D90)^(1/3)</f>
        <v>3</v>
      </c>
      <c r="E90" s="8">
        <f>('Редин'!E90*'Шатков'!E90*'Полищук'!E90)^(1/3)</f>
        <v>0.5503212081491045</v>
      </c>
      <c r="I90" s="4">
        <f>PRODUCT(B90:E90)^(1/4)</f>
        <v>1.5650845800732875</v>
      </c>
      <c r="J90" s="4">
        <f>I90/SUM($I$90:$I$93)</f>
        <v>0.31292252895722367</v>
      </c>
      <c r="K90" s="8">
        <f>(B90*$J$90+C90*$J$91+D90*$J$92+E90*$J$93)/J90</f>
        <v>4.026528753519072</v>
      </c>
    </row>
    <row r="91">
      <c r="A91" s="7" t="inlineStr">
        <is>
          <t xml:space="preserve">A2</t>
        </is>
      </c>
      <c r="B91" s="8">
        <f>('Редин'!B91*'Шатков'!B91*'Полищук'!B91)^(1/3)</f>
        <v>0.27516060407455223</v>
      </c>
      <c r="C91" s="8">
        <f>('Редин'!C91*'Шатков'!C91*'Полищук'!C91)^(1/3)</f>
        <v>1</v>
      </c>
      <c r="D91" s="8">
        <f>('Редин'!D91*'Шатков'!D91*'Полищук'!D91)^(1/3)</f>
        <v>0.6299605249474366</v>
      </c>
      <c r="E91" s="8">
        <f>('Редин'!E91*'Шатков'!E91*'Полищук'!E91)^(1/3)</f>
        <v>0.21839511618407473</v>
      </c>
      <c r="I91" s="4">
        <f>PRODUCT(B91:E91)^(1/4)</f>
        <v>0.44109854800996867</v>
      </c>
      <c r="J91" s="4">
        <f>I91/SUM($I$90:$I$93)</f>
        <v>0.0881931078486348</v>
      </c>
      <c r="K91" s="8">
        <f>(B91*$J$90+C91*$J$91+D91*$J$92+E91*$J$93)/J91</f>
        <v>4.025084017446917</v>
      </c>
    </row>
    <row r="92">
      <c r="A92" s="7" t="inlineStr">
        <is>
          <t xml:space="preserve">A3</t>
        </is>
      </c>
      <c r="B92" s="8">
        <f>('Редин'!B92*'Шатков'!B92*'Полищук'!B92)^(1/3)</f>
        <v>0.33333333333333337</v>
      </c>
      <c r="C92" s="8">
        <f>('Редин'!C92*'Шатков'!C92*'Полищук'!C92)^(1/3)</f>
        <v>1.5874010519681994</v>
      </c>
      <c r="D92" s="8">
        <f>('Редин'!D92*'Шатков'!D92*'Полищук'!D92)^(1/3)</f>
        <v>1</v>
      </c>
      <c r="E92" s="8">
        <f>('Редин'!E92*'Шатков'!E92*'Полищук'!E92)^(1/3)</f>
        <v>0.2554364774645177</v>
      </c>
      <c r="I92" s="4">
        <f>PRODUCT(B92:E92)^(1/4)</f>
        <v>0.6063342227481306</v>
      </c>
      <c r="J92" s="4">
        <f>I92/SUM($I$90:$I$93)</f>
        <v>0.12123027776989086</v>
      </c>
      <c r="K92" s="8">
        <f>(B92*$J$90+C92*$J$91+D92*$J$92+E92*$J$93)/J92</f>
        <v>4.0216512375752504</v>
      </c>
    </row>
    <row r="93">
      <c r="A93" s="7" t="inlineStr">
        <is>
          <t xml:space="preserve">A4</t>
        </is>
      </c>
      <c r="B93" s="8">
        <f>('Редин'!B93*'Шатков'!B93*'Полищук'!B93)^(1/3)</f>
        <v>1.8171205928321397</v>
      </c>
      <c r="C93" s="8">
        <f>('Редин'!C93*'Шатков'!C93*'Полищук'!C93)^(1/3)</f>
        <v>4.5788569702133275</v>
      </c>
      <c r="D93" s="8">
        <f>('Редин'!D93*'Шатков'!D93*'Полищук'!D93)^(1/3)</f>
        <v>3.9148676411688634</v>
      </c>
      <c r="E93" s="8">
        <f>('Редин'!E93*'Шатков'!E93*'Полищук'!E93)^(1/3)</f>
        <v>1</v>
      </c>
      <c r="I93" s="4">
        <f>PRODUCT(B93:E93)^(1/4)</f>
        <v>2.3889908029239266</v>
      </c>
      <c r="J93" s="4">
        <f>I93/SUM($I$90:$I$93)</f>
        <v>0.47765408542425064</v>
      </c>
      <c r="K93" s="8">
        <f>(B93*$J$90+C93*$J$91+D93*$J$92+E93*$J$93)/J93</f>
        <v>4.029477049720575</v>
      </c>
    </row>
    <row r="95">
      <c r="H95" s="7" t="inlineStr">
        <is>
          <t xml:space="preserve">λmax</t>
        </is>
      </c>
      <c r="I95" s="8">
        <f>AVERAGE(K90:K93)</f>
        <v>4.025685264565453</v>
      </c>
    </row>
    <row r="96">
      <c r="H96" s="7" t="inlineStr">
        <is>
          <t xml:space="preserve">CI</t>
        </is>
      </c>
      <c r="I96" s="8">
        <f>MAX(0,(I95-4)/(4-1))</f>
        <v>0.008561754855151094</v>
      </c>
    </row>
    <row r="97">
      <c r="H97" s="7" t="inlineStr">
        <is>
          <t xml:space="preserve">RI</t>
        </is>
      </c>
      <c r="I97" s="8">
        <v>0.9</v>
      </c>
    </row>
    <row r="98">
      <c r="H98" s="7" t="inlineStr">
        <is>
          <t xml:space="preserve">CR</t>
        </is>
      </c>
      <c r="I98" s="8">
        <f>I96/I97</f>
        <v>0.009513060950167882</v>
      </c>
      <c r="J98" s="7" t="inlineStr">
        <is>
          <t xml:space="preserve">CR ≤ 0,10</t>
        </is>
      </c>
      <c r="K98" s="10" t="str">
        <f>IF(I98&lt;=0.1,"OK","ПРОВЕРИТЬ")</f>
        <v>OK</v>
      </c>
    </row>
    <row r="103" ht="27" customHeight="1">
      <c r="A103" s="2" t="inlineStr">
        <is>
          <t xml:space="preserve">Этап 7. K6 — Внешние зависимости MVP | Cost</t>
        </is>
      </c>
    </row>
    <row r="104">
      <c r="A104" s="3" t="inlineStr">
        <is>
          <t xml:space="preserve">Элемент</t>
        </is>
      </c>
      <c r="B104" s="3" t="inlineStr">
        <is>
          <t xml:space="preserve">A1</t>
        </is>
      </c>
      <c r="C104" s="3" t="inlineStr">
        <is>
          <t xml:space="preserve">A2</t>
        </is>
      </c>
      <c r="D104" s="3" t="inlineStr">
        <is>
          <t xml:space="preserve">A3</t>
        </is>
      </c>
      <c r="E104" s="3" t="inlineStr">
        <is>
          <t xml:space="preserve">A4</t>
        </is>
      </c>
      <c r="I104" s="3" t="inlineStr">
        <is>
          <t xml:space="preserve">Средн. геом.</t>
        </is>
      </c>
      <c r="J104" s="3" t="inlineStr">
        <is>
          <t xml:space="preserve">Приоритет</t>
        </is>
      </c>
      <c r="K104" s="3" t="inlineStr">
        <is>
          <t xml:space="preserve">λᵢ</t>
        </is>
      </c>
    </row>
    <row r="105">
      <c r="A105" s="7" t="inlineStr">
        <is>
          <t xml:space="preserve">A1</t>
        </is>
      </c>
      <c r="B105" s="8">
        <f>('Редин'!B105*'Шатков'!B105*'Полищук'!B105)^(1/3)</f>
        <v>1</v>
      </c>
      <c r="C105" s="8">
        <f>('Редин'!C105*'Шатков'!C105*'Полищук'!C105)^(1/3)</f>
        <v>4.308869380063767</v>
      </c>
      <c r="D105" s="8">
        <f>('Редин'!D105*'Шатков'!D105*'Полищук'!D105)^(1/3)</f>
        <v>3.3019272488946263</v>
      </c>
      <c r="E105" s="8">
        <f>('Редин'!E105*'Шатков'!E105*'Полищук'!E105)^(1/3)</f>
        <v>0.5</v>
      </c>
      <c r="I105" s="4">
        <f>PRODUCT(B105:E105)^(1/4)</f>
        <v>1.6331467402961668</v>
      </c>
      <c r="J105" s="4">
        <f>I105/SUM($I$105:$I$108)</f>
        <v>0.31219478595899697</v>
      </c>
      <c r="K105" s="8">
        <f>(B105*$J$105+C105*$J$106+D105*$J$107+E105*$J$108)/J105</f>
        <v>4.048653964523088</v>
      </c>
    </row>
    <row r="106">
      <c r="A106" s="7" t="inlineStr">
        <is>
          <t xml:space="preserve">A2</t>
        </is>
      </c>
      <c r="B106" s="8">
        <f>('Редин'!B106*'Шатков'!B106*'Полищук'!B106)^(1/3)</f>
        <v>0.23207944168063896</v>
      </c>
      <c r="C106" s="8">
        <f>('Редин'!C106*'Шатков'!C106*'Полищук'!C106)^(1/3)</f>
        <v>1</v>
      </c>
      <c r="D106" s="8">
        <f>('Редин'!D106*'Шатков'!D106*'Полищук'!D106)^(1/3)</f>
        <v>0.5</v>
      </c>
      <c r="E106" s="8">
        <f>('Редин'!E106*'Шатков'!E106*'Полищук'!E106)^(1/3)</f>
        <v>0.18820720577620573</v>
      </c>
      <c r="I106" s="4">
        <f>PRODUCT(B106:E106)^(1/4)</f>
        <v>0.3844242100239219</v>
      </c>
      <c r="J106" s="4">
        <f>I106/SUM($I$105:$I$108)</f>
        <v>0.07348710988708237</v>
      </c>
      <c r="K106" s="8">
        <f>(B106*$J$105+C106*$J$106+D106*$J$107+E106*$J$108)/J106</f>
        <v>4.055893102872738</v>
      </c>
    </row>
    <row r="107">
      <c r="A107" s="7" t="inlineStr">
        <is>
          <t xml:space="preserve">A3</t>
        </is>
      </c>
      <c r="B107" s="8">
        <f>('Редин'!B107*'Шатков'!B107*'Полищук'!B107)^(1/3)</f>
        <v>0.30285343213869</v>
      </c>
      <c r="C107" s="8">
        <f>('Редин'!C107*'Шатков'!C107*'Полищук'!C107)^(1/3)</f>
        <v>2</v>
      </c>
      <c r="D107" s="8">
        <f>('Редин'!D107*'Шатков'!D107*'Полищук'!D107)^(1/3)</f>
        <v>1</v>
      </c>
      <c r="E107" s="8">
        <f>('Редин'!E107*'Шатков'!E107*'Полищук'!E107)^(1/3)</f>
        <v>0.23207944168063896</v>
      </c>
      <c r="I107" s="4">
        <f>PRODUCT(B107:E107)^(1/4)</f>
        <v>0.6123148491963758</v>
      </c>
      <c r="J107" s="4">
        <f>I107/SUM($I$105:$I$108)</f>
        <v>0.11705102705572643</v>
      </c>
      <c r="K107" s="8">
        <f>(B107*$J$105+C107*$J$106+D107*$J$107+E107*$J$108)/J107</f>
        <v>4.049344860911249</v>
      </c>
    </row>
    <row r="108">
      <c r="A108" s="7" t="inlineStr">
        <is>
          <t xml:space="preserve">A4</t>
        </is>
      </c>
      <c r="B108" s="8">
        <f>('Редин'!B108*'Шатков'!B108*'Полищук'!B108)^(1/3)</f>
        <v>2</v>
      </c>
      <c r="C108" s="8">
        <f>('Редин'!C108*'Шатков'!C108*'Полищук'!C108)^(1/3)</f>
        <v>5.313292845913055</v>
      </c>
      <c r="D108" s="8">
        <f>('Редин'!D108*'Шатков'!D108*'Полищук'!D108)^(1/3)</f>
        <v>4.308869380063767</v>
      </c>
      <c r="E108" s="8">
        <f>('Редин'!E108*'Шатков'!E108*'Полищук'!E108)^(1/3)</f>
        <v>1</v>
      </c>
      <c r="I108" s="4">
        <f>PRODUCT(B108:E108)^(1/4)</f>
        <v>2.60129298292054</v>
      </c>
      <c r="J108" s="4">
        <f>I108/SUM($I$105:$I$108)</f>
        <v>0.49726707709819434</v>
      </c>
      <c r="K108" s="8">
        <f>(B108*$J$105+C108*$J$106+D108*$J$107+E108*$J$108)/J108</f>
        <v>4.055110148048864</v>
      </c>
    </row>
    <row r="110">
      <c r="H110" s="7" t="inlineStr">
        <is>
          <t xml:space="preserve">λmax</t>
        </is>
      </c>
      <c r="I110" s="8">
        <f>AVERAGE(K105:K108)</f>
        <v>4.052250519088985</v>
      </c>
    </row>
    <row r="111">
      <c r="H111" s="7" t="inlineStr">
        <is>
          <t xml:space="preserve">CI</t>
        </is>
      </c>
      <c r="I111" s="8">
        <f>MAX(0,(I110-4)/(4-1))</f>
        <v>0.017416839696328346</v>
      </c>
    </row>
    <row r="112">
      <c r="H112" s="7" t="inlineStr">
        <is>
          <t xml:space="preserve">RI</t>
        </is>
      </c>
      <c r="I112" s="8">
        <v>0.9</v>
      </c>
    </row>
    <row r="113">
      <c r="H113" s="7" t="inlineStr">
        <is>
          <t xml:space="preserve">CR</t>
        </is>
      </c>
      <c r="I113" s="8">
        <f>I111/I112</f>
        <v>0.019352044107031494</v>
      </c>
      <c r="J113" s="7" t="inlineStr">
        <is>
          <t xml:space="preserve">CR ≤ 0,10</t>
        </is>
      </c>
      <c r="K113" s="10" t="str">
        <f>IF(I113&lt;=0.1,"OK","ПРОВЕРИТЬ")</f>
        <v>OK</v>
      </c>
    </row>
    <row r="118" ht="27" customHeight="1">
      <c r="A118" s="2" t="inlineStr">
        <is>
          <t xml:space="preserve">Этап 8. K7 — Эксплуатация и сопровождение MVP | Cost</t>
        </is>
      </c>
    </row>
    <row r="119">
      <c r="A119" s="3" t="inlineStr">
        <is>
          <t xml:space="preserve">Элемент</t>
        </is>
      </c>
      <c r="B119" s="3" t="inlineStr">
        <is>
          <t xml:space="preserve">A1</t>
        </is>
      </c>
      <c r="C119" s="3" t="inlineStr">
        <is>
          <t xml:space="preserve">A2</t>
        </is>
      </c>
      <c r="D119" s="3" t="inlineStr">
        <is>
          <t xml:space="preserve">A3</t>
        </is>
      </c>
      <c r="E119" s="3" t="inlineStr">
        <is>
          <t xml:space="preserve">A4</t>
        </is>
      </c>
      <c r="I119" s="3" t="inlineStr">
        <is>
          <t xml:space="preserve">Средн. геом.</t>
        </is>
      </c>
      <c r="J119" s="3" t="inlineStr">
        <is>
          <t xml:space="preserve">Приоритет</t>
        </is>
      </c>
      <c r="K119" s="3" t="inlineStr">
        <is>
          <t xml:space="preserve">λᵢ</t>
        </is>
      </c>
    </row>
    <row r="120">
      <c r="A120" s="7" t="inlineStr">
        <is>
          <t xml:space="preserve">A1</t>
        </is>
      </c>
      <c r="B120" s="8">
        <f>('Редин'!B120*'Шатков'!B120*'Полищук'!B120)^(1/3)</f>
        <v>1</v>
      </c>
      <c r="C120" s="8">
        <f>('Редин'!C120*'Шатков'!C120*'Полищук'!C120)^(1/3)</f>
        <v>4.308869380063767</v>
      </c>
      <c r="D120" s="8">
        <f>('Редин'!D120*'Шатков'!D120*'Полищук'!D120)^(1/3)</f>
        <v>3.634241185664279</v>
      </c>
      <c r="E120" s="8">
        <f>('Редин'!E120*'Шатков'!E120*'Полищук'!E120)^(1/3)</f>
        <v>0.5</v>
      </c>
      <c r="I120" s="4">
        <f>PRODUCT(B120:E120)^(1/4)</f>
        <v>1.6727720748325299</v>
      </c>
      <c r="J120" s="4">
        <f>I120/SUM($I$120:$I$123)</f>
        <v>0.3165709877658202</v>
      </c>
      <c r="K120" s="8">
        <f>(B120*$J$120+C120*$J$121+D120*$J$122+E120*$J$123)/J120</f>
        <v>4.044561293501756</v>
      </c>
    </row>
    <row r="121">
      <c r="A121" s="7" t="inlineStr">
        <is>
          <t xml:space="preserve">A2</t>
        </is>
      </c>
      <c r="B121" s="8">
        <f>('Редин'!B121*'Шатков'!B121*'Полищук'!B121)^(1/3)</f>
        <v>0.23207944168063896</v>
      </c>
      <c r="C121" s="8">
        <f>('Редин'!C121*'Шатков'!C121*'Полищук'!C121)^(1/3)</f>
        <v>1</v>
      </c>
      <c r="D121" s="8">
        <f>('Редин'!D121*'Шатков'!D121*'Полищук'!D121)^(1/3)</f>
        <v>0.6299605249474366</v>
      </c>
      <c r="E121" s="8">
        <f>('Редин'!E121*'Шатков'!E121*'Полищук'!E121)^(1/3)</f>
        <v>0.18820720577620573</v>
      </c>
      <c r="I121" s="4">
        <f>PRODUCT(B121:E121)^(1/4)</f>
        <v>0.40728326309857193</v>
      </c>
      <c r="J121" s="4">
        <f>I121/SUM($I$120:$I$123)</f>
        <v>0.07707808304518093</v>
      </c>
      <c r="K121" s="8">
        <f>(B121*$J$120+C121*$J$121+D121*$J$122+E121*$J$123)/J121</f>
        <v>4.034493414401024</v>
      </c>
    </row>
    <row r="122">
      <c r="A122" s="7" t="inlineStr">
        <is>
          <t xml:space="preserve">A3</t>
        </is>
      </c>
      <c r="B122" s="8">
        <f>('Редин'!B122*'Шатков'!B122*'Полищук'!B122)^(1/3)</f>
        <v>0.27516060407455223</v>
      </c>
      <c r="C122" s="8">
        <f>('Редин'!C122*'Шатков'!C122*'Полищук'!C122)^(1/3)</f>
        <v>1.5874010519681994</v>
      </c>
      <c r="D122" s="8">
        <f>('Редин'!D122*'Шатков'!D122*'Полищук'!D122)^(1/3)</f>
        <v>1</v>
      </c>
      <c r="E122" s="8">
        <f>('Редин'!E122*'Шатков'!E122*'Полищук'!E122)^(1/3)</f>
        <v>0.2154434690031884</v>
      </c>
      <c r="I122" s="4">
        <f>PRODUCT(B122:E122)^(1/4)</f>
        <v>0.5538619913725094</v>
      </c>
      <c r="J122" s="4">
        <f>I122/SUM($I$120:$I$123)</f>
        <v>0.10481800858152977</v>
      </c>
      <c r="K122" s="8">
        <f>(B122*$J$120+C122*$J$121+D122*$J$122+E122*$J$123)/J122</f>
        <v>4.029190220912638</v>
      </c>
    </row>
    <row r="123">
      <c r="A123" s="7" t="inlineStr">
        <is>
          <t xml:space="preserve">A4</t>
        </is>
      </c>
      <c r="B123" s="8">
        <f>('Редин'!B123*'Шатков'!B123*'Полищук'!B123)^(1/3)</f>
        <v>2</v>
      </c>
      <c r="C123" s="8">
        <f>('Редин'!C123*'Шатков'!C123*'Полищук'!C123)^(1/3)</f>
        <v>5.313292845913055</v>
      </c>
      <c r="D123" s="8">
        <f>('Редин'!D123*'Шатков'!D123*'Полищук'!D123)^(1/3)</f>
        <v>4.641588833612778</v>
      </c>
      <c r="E123" s="8">
        <f>('Редин'!E123*'Шатков'!E123*'Полищук'!E123)^(1/3)</f>
        <v>1</v>
      </c>
      <c r="I123" s="4">
        <f>PRODUCT(B123:E123)^(1/4)</f>
        <v>2.6501173405756893</v>
      </c>
      <c r="J123" s="4">
        <f>I123/SUM($I$120:$I$123)</f>
        <v>0.501532920607469</v>
      </c>
      <c r="K123" s="8">
        <f>(B123*$J$120+C123*$J$121+D123*$J$122+E123*$J$123)/J123</f>
        <v>4.049057077038217</v>
      </c>
    </row>
    <row r="125">
      <c r="H125" s="7" t="inlineStr">
        <is>
          <t xml:space="preserve">λmax</t>
        </is>
      </c>
      <c r="I125" s="8">
        <f>AVERAGE(K120:K123)</f>
        <v>4.039325501463409</v>
      </c>
    </row>
    <row r="126">
      <c r="H126" s="7" t="inlineStr">
        <is>
          <t xml:space="preserve">CI</t>
        </is>
      </c>
      <c r="I126" s="8">
        <f>MAX(0,(I125-4)/(4-1))</f>
        <v>0.013108500487803099</v>
      </c>
    </row>
    <row r="127">
      <c r="H127" s="7" t="inlineStr">
        <is>
          <t xml:space="preserve">RI</t>
        </is>
      </c>
      <c r="I127" s="8">
        <v>0.9</v>
      </c>
    </row>
    <row r="128">
      <c r="H128" s="7" t="inlineStr">
        <is>
          <t xml:space="preserve">CR</t>
        </is>
      </c>
      <c r="I128" s="8">
        <f>I126/I127</f>
        <v>0.014565000542003442</v>
      </c>
      <c r="J128" s="7" t="inlineStr">
        <is>
          <t xml:space="preserve">CR ≤ 0,10</t>
        </is>
      </c>
      <c r="K128" s="10" t="str">
        <f>IF(I128&lt;=0.1,"OK","ПРОВЕРИТЬ")</f>
        <v>OK</v>
      </c>
    </row>
  </sheetData>
  <mergeCells count="11">
    <mergeCell ref="A1:L1"/>
    <mergeCell ref="A2:L2"/>
    <mergeCell ref="A3:L3"/>
    <mergeCell ref="A7:L7"/>
    <mergeCell ref="A28:L28"/>
    <mergeCell ref="A43:L43"/>
    <mergeCell ref="A58:L58"/>
    <mergeCell ref="A73:L73"/>
    <mergeCell ref="A88:L88"/>
    <mergeCell ref="A103:L103"/>
    <mergeCell ref="A118:L118"/>
  </mergeCells>
</worksheet>
</file>

<file path=xl/worksheets/sheet6.xml><?xml version="1.0" encoding="utf-8"?>
<worksheet xmlns="http://schemas.openxmlformats.org/spreadsheetml/2006/main">
  <dimension ref="A1:L46"/>
  <sheetViews>
    <sheetView workbookViewId="0">
      <pane ySplit="4" topLeftCell="A5" activePane="bottomLeft" state="frozen"/>
    </sheetView>
  </sheetViews>
  <sheetFormatPr defaultRowHeight="19"/>
  <cols>
    <col min="1" max="1" width="46" customWidth="1"/>
    <col min="2" max="8" width="16" customWidth="1"/>
    <col min="9" max="12" width="19" customWidth="1"/>
  </cols>
  <sheetData>
    <row r="1" ht="27" customHeight="1">
      <c r="A1" s="1" t="inlineStr">
        <is>
          <t xml:space="preserve">Фаза 1 — Итоги чёткого коллективного МАИ</t>
        </is>
      </c>
    </row>
    <row r="2" ht="27" customHeight="1">
      <c r="A2" s="6" t="inlineStr">
        <is>
          <t xml:space="preserve">Результаты предварительные: экспертные пары получены из черновых оценок, а не отдельного опроса.</t>
        </is>
      </c>
    </row>
    <row r="4" ht="27" customHeight="1">
      <c r="A4" s="2" t="inlineStr">
        <is>
          <t xml:space="preserve">Этап 1. Веса критериев и локальные приоритеты альтернатив</t>
        </is>
      </c>
    </row>
    <row r="5">
      <c r="A5" s="3" t="inlineStr">
        <is>
          <t xml:space="preserve">Критерий</t>
        </is>
      </c>
      <c r="B5" s="3" t="inlineStr">
        <is>
          <t xml:space="preserve">Вес критерия</t>
        </is>
      </c>
      <c r="C5" s="3" t="inlineStr">
        <is>
          <t xml:space="preserve">A1 — Pentest</t>
        </is>
      </c>
      <c r="D5" s="3" t="inlineStr">
        <is>
          <t xml:space="preserve">A2 — DevSecOps</t>
        </is>
      </c>
      <c r="E5" s="3" t="inlineStr">
        <is>
          <t xml:space="preserve">A3 — SOC</t>
        </is>
      </c>
      <c r="F5" s="3" t="inlineStr">
        <is>
          <t xml:space="preserve">A4 — Audit</t>
        </is>
      </c>
      <c r="G5" s="3" t="inlineStr">
        <is>
          <t xml:space="preserve">Сумма A1–A4</t>
        </is>
      </c>
    </row>
    <row r="6">
      <c r="A6" s="7" t="inlineStr">
        <is>
          <t xml:space="preserve">K1 — Практическая значимость</t>
        </is>
      </c>
      <c r="B6" s="4">
        <f>'Коллективный'!J9</f>
        <v>0.2305841414225648</v>
      </c>
      <c r="C6" s="4">
        <f>'Коллективный'!J30</f>
        <v>0.2582725647717725</v>
      </c>
      <c r="D6" s="4">
        <f>'Коллективный'!J31</f>
        <v>0.2608200570190835</v>
      </c>
      <c r="E6" s="4">
        <f>'Коллективный'!J32</f>
        <v>0.38697161156063786</v>
      </c>
      <c r="F6" s="4">
        <f>'Коллективный'!J33</f>
        <v>0.09393576664850613</v>
      </c>
      <c r="G6" s="8">
        <f>SUM(C6:F6)</f>
        <v>1</v>
      </c>
    </row>
    <row r="7">
      <c r="A7" s="7" t="inlineStr">
        <is>
          <t xml:space="preserve">K2 — Функциональная содержательность</t>
        </is>
      </c>
      <c r="B7" s="4">
        <f>'Коллективный'!J10</f>
        <v>0.1318913401240156</v>
      </c>
      <c r="C7" s="4">
        <f>'Коллективный'!J45</f>
        <v>0.2259931139477152</v>
      </c>
      <c r="D7" s="4">
        <f>'Коллективный'!J46</f>
        <v>0.33860708195326</v>
      </c>
      <c r="E7" s="4">
        <f>'Коллективный'!J47</f>
        <v>0.33860708195326</v>
      </c>
      <c r="F7" s="4">
        <f>'Коллективный'!J48</f>
        <v>0.09679272214576481</v>
      </c>
      <c r="G7" s="8">
        <f>SUM(C7:F7)</f>
        <v>1</v>
      </c>
    </row>
    <row r="8">
      <c r="A8" s="7" t="inlineStr">
        <is>
          <t xml:space="preserve">K3 — Потенциал интеграции и развития</t>
        </is>
      </c>
      <c r="B8" s="4">
        <f>'Коллективный'!J11</f>
        <v>0.08705903373653358</v>
      </c>
      <c r="C8" s="4">
        <f>'Коллективный'!J60</f>
        <v>0.15797192121834489</v>
      </c>
      <c r="D8" s="4">
        <f>'Коллективный'!J61</f>
        <v>0.4424895569587404</v>
      </c>
      <c r="E8" s="4">
        <f>'Коллективный'!J62</f>
        <v>0.3145746736012542</v>
      </c>
      <c r="F8" s="4">
        <f>'Коллективный'!J63</f>
        <v>0.08496384822166048</v>
      </c>
      <c r="G8" s="8">
        <f>SUM(C8:F8)</f>
        <v>1</v>
      </c>
    </row>
    <row r="9">
      <c r="A9" s="7" t="inlineStr">
        <is>
          <t xml:space="preserve">K4 — Демонстрационная и исследовательская ценность</t>
        </is>
      </c>
      <c r="B9" s="4">
        <f>'Коллективный'!J12</f>
        <v>0.15948183426340212</v>
      </c>
      <c r="C9" s="4">
        <f>'Коллективный'!J75</f>
        <v>0.4091197715559432</v>
      </c>
      <c r="D9" s="4">
        <f>'Коллективный'!J76</f>
        <v>0.1848407226471761</v>
      </c>
      <c r="E9" s="4">
        <f>'Коллективный'!J77</f>
        <v>0.2796798633504732</v>
      </c>
      <c r="F9" s="4">
        <f>'Коллективный'!J78</f>
        <v>0.1263596424464076</v>
      </c>
      <c r="G9" s="8">
        <f>SUM(C9:F9)</f>
        <v>1</v>
      </c>
    </row>
    <row r="10">
      <c r="A10" s="7" t="inlineStr">
        <is>
          <t xml:space="preserve">K5 — Трудоёмкость реализации MVP</t>
        </is>
      </c>
      <c r="B10" s="4">
        <f>'Коллективный'!J13</f>
        <v>0.22872614263214616</v>
      </c>
      <c r="C10" s="4">
        <f>'Коллективный'!J90</f>
        <v>0.31292252895722367</v>
      </c>
      <c r="D10" s="4">
        <f>'Коллективный'!J91</f>
        <v>0.0881931078486348</v>
      </c>
      <c r="E10" s="4">
        <f>'Коллективный'!J92</f>
        <v>0.12123027776989086</v>
      </c>
      <c r="F10" s="4">
        <f>'Коллективный'!J93</f>
        <v>0.47765408542425064</v>
      </c>
      <c r="G10" s="8">
        <f>SUM(C10:F10)</f>
        <v>1</v>
      </c>
    </row>
    <row r="11">
      <c r="A11" s="7" t="inlineStr">
        <is>
          <t xml:space="preserve">K6 — Внешние зависимости MVP</t>
        </is>
      </c>
      <c r="B11" s="4">
        <f>'Коллективный'!J14</f>
        <v>0.08825987464495119</v>
      </c>
      <c r="C11" s="4">
        <f>'Коллективный'!J105</f>
        <v>0.31219478595899697</v>
      </c>
      <c r="D11" s="4">
        <f>'Коллективный'!J106</f>
        <v>0.07348710988708237</v>
      </c>
      <c r="E11" s="4">
        <f>'Коллективный'!J107</f>
        <v>0.11705102705572643</v>
      </c>
      <c r="F11" s="4">
        <f>'Коллективный'!J108</f>
        <v>0.49726707709819434</v>
      </c>
      <c r="G11" s="8">
        <f>SUM(C11:F11)</f>
        <v>1</v>
      </c>
    </row>
    <row r="12">
      <c r="A12" s="7" t="inlineStr">
        <is>
          <t xml:space="preserve">K7 — Эксплуатация и сопровождение MVP</t>
        </is>
      </c>
      <c r="B12" s="4">
        <f>'Коллективный'!J15</f>
        <v>0.0739976331763866</v>
      </c>
      <c r="C12" s="4">
        <f>'Коллективный'!J120</f>
        <v>0.3165709877658202</v>
      </c>
      <c r="D12" s="4">
        <f>'Коллективный'!J121</f>
        <v>0.07707808304518093</v>
      </c>
      <c r="E12" s="4">
        <f>'Коллективный'!J122</f>
        <v>0.10481800858152977</v>
      </c>
      <c r="F12" s="4">
        <f>'Коллективный'!J123</f>
        <v>0.501532920607469</v>
      </c>
      <c r="G12" s="8">
        <f>SUM(C12:F12)</f>
        <v>1</v>
      </c>
    </row>
    <row r="13">
      <c r="A13" s="7" t="inlineStr">
        <is>
          <t xml:space="preserve">Контроль суммы весов</t>
        </is>
      </c>
      <c r="B13" s="8">
        <f>SUM(B6:B12)</f>
        <v>1</v>
      </c>
    </row>
    <row r="16" ht="27" customHeight="1">
      <c r="A16" s="2" t="inlineStr">
        <is>
          <t xml:space="preserve">Этап 2. Общий рейтинг</t>
        </is>
      </c>
    </row>
    <row r="17">
      <c r="A17" s="3" t="inlineStr">
        <is>
          <t xml:space="preserve">Концепция</t>
        </is>
      </c>
      <c r="B17" s="3" t="inlineStr">
        <is>
          <t xml:space="preserve">Глобальный вес</t>
        </is>
      </c>
      <c r="C17" s="3" t="inlineStr">
        <is>
          <t xml:space="preserve">Место</t>
        </is>
      </c>
      <c r="D17" s="3" t="inlineStr">
        <is>
          <t xml:space="preserve">Проверка</t>
        </is>
      </c>
      <c r="E17" s="3" t="inlineStr">
        <is>
          <t xml:space="preserve">Статус</t>
        </is>
      </c>
    </row>
    <row r="18">
      <c r="A18" s="7" t="inlineStr">
        <is>
          <t xml:space="preserve">A1 — Pentest</t>
        </is>
      </c>
      <c r="B18" s="4">
        <f>$B$6*C6+$B$7*C7+$B$8*C8+$B$9*C9+$B$10*C10+$B$11*C11+$B$12*C12</f>
        <v>0.29091348616981705</v>
      </c>
      <c r="C18" s="8">
        <f>RANK(B18,$B$18:$B$21,0)</f>
        <v>1</v>
      </c>
      <c r="D18" s="10" t="str">
        <f>IF(B18&gt;=0,"OK","ПРОВЕРИТЬ")</f>
        <v>OK</v>
      </c>
      <c r="E18" s="7" t="inlineStr">
        <is>
          <t xml:space="preserve">Черновик</t>
        </is>
      </c>
    </row>
    <row r="19">
      <c r="A19" s="7" t="inlineStr">
        <is>
          <t xml:space="preserve">A2 — DevSecOps</t>
        </is>
      </c>
      <c r="B19" s="4">
        <f>$B$6*D6+$B$7*D7+$B$8*D8+$B$9*D9+$B$10*D10+$B$11*D11+$B$12*D12</f>
        <v>0.2051633896762359</v>
      </c>
      <c r="C19" s="8">
        <f>RANK(B19,$B$18:$B$21,0)</f>
        <v>4</v>
      </c>
      <c r="D19" s="10" t="str">
        <f>IF(B19&gt;=0,"OK","ПРОВЕРИТЬ")</f>
        <v>OK</v>
      </c>
      <c r="E19" s="7" t="inlineStr">
        <is>
          <t xml:space="preserve">Черновик</t>
        </is>
      </c>
    </row>
    <row r="20">
      <c r="A20" s="7" t="inlineStr">
        <is>
          <t xml:space="preserve">A3 — SOC</t>
        </is>
      </c>
      <c r="B20" s="4">
        <f>$B$6*E6+$B$7*E7+$B$8*E8+$B$9*E9+$B$10*E10+$B$11*E11+$B$12*E12</f>
        <v>0.25169501068512284</v>
      </c>
      <c r="C20" s="8">
        <f>RANK(B20,$B$18:$B$21,0)</f>
        <v>3</v>
      </c>
      <c r="D20" s="10" t="str">
        <f>IF(B20&gt;=0,"OK","ПРОВЕРИТЬ")</f>
        <v>OK</v>
      </c>
      <c r="E20" s="7" t="inlineStr">
        <is>
          <t xml:space="preserve">Черновик</t>
        </is>
      </c>
    </row>
    <row r="21">
      <c r="A21" s="7" t="inlineStr">
        <is>
          <t xml:space="preserve">A4 — Security Audit</t>
        </is>
      </c>
      <c r="B21" s="4">
        <f>$B$6*F6+$B$7*F7+$B$8*F8+$B$9*F9+$B$10*F10+$B$11*F11+$B$12*F12</f>
        <v>0.2522281134688243</v>
      </c>
      <c r="C21" s="8">
        <f>RANK(B21,$B$18:$B$21,0)</f>
        <v>2</v>
      </c>
      <c r="D21" s="10" t="str">
        <f>IF(B21&gt;=0,"OK","ПРОВЕРИТЬ")</f>
        <v>OK</v>
      </c>
      <c r="E21" s="7" t="inlineStr">
        <is>
          <t xml:space="preserve">Черновик</t>
        </is>
      </c>
    </row>
    <row r="23">
      <c r="A23" s="7" t="inlineStr">
        <is>
          <t xml:space="preserve">Сумма глобальных весов</t>
        </is>
      </c>
      <c r="B23" s="8">
        <f>SUM(B18:B21)</f>
        <v>1</v>
      </c>
    </row>
    <row r="24">
      <c r="A24" s="7" t="inlineStr">
        <is>
          <t xml:space="preserve">Контроль суммы</t>
        </is>
      </c>
      <c r="B24" s="10" t="str">
        <f>IF(ABS(B23-1)&lt;0.000001,"OK","ПРОВЕРИТЬ")</f>
        <v>OK</v>
      </c>
    </row>
    <row r="27" ht="27" customHeight="1">
      <c r="A27" s="2" t="inlineStr">
        <is>
          <t xml:space="preserve">Этап 3. Проверка согласованности (CR)</t>
        </is>
      </c>
    </row>
    <row r="28">
      <c r="A28" s="3" t="inlineStr">
        <is>
          <t xml:space="preserve">Матрица</t>
        </is>
      </c>
      <c r="B28" s="3" t="inlineStr">
        <is>
          <t xml:space="preserve">Редин</t>
        </is>
      </c>
      <c r="C28" s="3" t="inlineStr">
        <is>
          <t xml:space="preserve">Шатков</t>
        </is>
      </c>
      <c r="D28" s="3" t="inlineStr">
        <is>
          <t xml:space="preserve">Полищук</t>
        </is>
      </c>
      <c r="E28" s="3" t="inlineStr">
        <is>
          <t xml:space="preserve">Коллективный</t>
        </is>
      </c>
    </row>
    <row r="29">
      <c r="A29" s="7" t="inlineStr">
        <is>
          <t xml:space="preserve">Веса критериев</t>
        </is>
      </c>
      <c r="B29" s="8">
        <f>'Редин'!I20</f>
        <v>0.005965146779303221</v>
      </c>
      <c r="C29" s="8">
        <f>'Шатков'!I20</f>
        <v>0.003839534348943862</v>
      </c>
      <c r="D29" s="8">
        <f>'Полищук'!I20</f>
        <v>0.0017085663199417117</v>
      </c>
      <c r="E29" s="8">
        <f>'Коллективный'!I20</f>
        <v>0.0008555712421056368</v>
      </c>
    </row>
    <row r="30">
      <c r="A30" s="7" t="inlineStr">
        <is>
          <t xml:space="preserve">K1 — альтернативы</t>
        </is>
      </c>
      <c r="B30" s="8">
        <f>'Редин'!I38</f>
        <v>0.007627513477776028</v>
      </c>
      <c r="C30" s="8">
        <f>'Шатков'!I38</f>
        <v>0.003835657950579303</v>
      </c>
      <c r="D30" s="8">
        <f>'Полищук'!I38</f>
        <v>0.007627513477776028</v>
      </c>
      <c r="E30" s="8">
        <f>'Коллективный'!I38</f>
        <v>0.0029652623102490354</v>
      </c>
    </row>
    <row r="31">
      <c r="A31" s="7" t="inlineStr">
        <is>
          <t xml:space="preserve">K2 — альтернативы</t>
        </is>
      </c>
      <c r="B31" s="8">
        <f>'Редин'!I53</f>
        <v>0.003835657950579303</v>
      </c>
      <c r="C31" s="8">
        <f>'Шатков'!I53</f>
        <v>0.007627513477776028</v>
      </c>
      <c r="D31" s="8">
        <f>'Полищук'!I53</f>
        <v>0</v>
      </c>
      <c r="E31" s="8">
        <f>'Коллективный'!I53</f>
        <v>0.002473184686450533</v>
      </c>
    </row>
    <row r="32">
      <c r="A32" s="7" t="inlineStr">
        <is>
          <t xml:space="preserve">K3 — альтернативы</t>
        </is>
      </c>
      <c r="B32" s="8">
        <f>'Редин'!I68</f>
        <v>0.018916770735215336</v>
      </c>
      <c r="C32" s="8">
        <f>'Шатков'!I68</f>
        <v>0.007627513477776028</v>
      </c>
      <c r="D32" s="8">
        <f>'Полищук'!I68</f>
        <v>0.011473026456693085</v>
      </c>
      <c r="E32" s="8">
        <f>'Коллективный'!I68</f>
        <v>0.010988174384908742</v>
      </c>
    </row>
    <row r="33">
      <c r="A33" s="7" t="inlineStr">
        <is>
          <t xml:space="preserve">K4 — альтернативы</t>
        </is>
      </c>
      <c r="B33" s="8">
        <f>'Редин'!I83</f>
        <v>0.011473026456693085</v>
      </c>
      <c r="C33" s="8">
        <f>'Шатков'!I83</f>
        <v>0.003835657950579303</v>
      </c>
      <c r="D33" s="8">
        <f>'Полищук'!I83</f>
        <v>0</v>
      </c>
      <c r="E33" s="8">
        <f>'Коллективный'!I83</f>
        <v>0.0028993160646930117</v>
      </c>
    </row>
    <row r="34">
      <c r="A34" s="7" t="inlineStr">
        <is>
          <t xml:space="preserve">K5 — альтернативы</t>
        </is>
      </c>
      <c r="B34" s="8">
        <f>'Редин'!I98</f>
        <v>0.007627513477776028</v>
      </c>
      <c r="C34" s="8">
        <f>'Шатков'!I98</f>
        <v>0.029160901585068177</v>
      </c>
      <c r="D34" s="8">
        <f>'Полищук'!I98</f>
        <v>0.007627513477775699</v>
      </c>
      <c r="E34" s="8">
        <f>'Коллективный'!I98</f>
        <v>0.009513060950167882</v>
      </c>
    </row>
    <row r="35">
      <c r="A35" s="7" t="inlineStr">
        <is>
          <t xml:space="preserve">K6 — альтернативы</t>
        </is>
      </c>
      <c r="B35" s="8">
        <f>'Редин'!I113</f>
        <v>0.022420083366448424</v>
      </c>
      <c r="C35" s="8">
        <f>'Шатков'!I113</f>
        <v>0.017910309477394897</v>
      </c>
      <c r="D35" s="8">
        <f>'Полищук'!I113</f>
        <v>0.017910309477394897</v>
      </c>
      <c r="E35" s="8">
        <f>'Коллективный'!I113</f>
        <v>0.019352044107031494</v>
      </c>
    </row>
    <row r="36">
      <c r="A36" s="7" t="inlineStr">
        <is>
          <t xml:space="preserve">K7 — альтернативы</t>
        </is>
      </c>
      <c r="B36" s="8">
        <f>'Редин'!I128</f>
        <v>0.010256472287970882</v>
      </c>
      <c r="C36" s="8">
        <f>'Шатков'!I128</f>
        <v>0.022420083366448424</v>
      </c>
      <c r="D36" s="8">
        <f>'Полищук'!I128</f>
        <v>0.017910309477394897</v>
      </c>
      <c r="E36" s="8">
        <f>'Коллективный'!I128</f>
        <v>0.014565000542003442</v>
      </c>
    </row>
    <row r="38">
      <c r="A38" s="7" t="inlineStr">
        <is>
          <t xml:space="preserve">Все CR ≤ 0,10?</t>
        </is>
      </c>
      <c r="B38" s="10" t="str">
        <f>IF(MAX(B29:E36)&lt;=0.1,"OK","ПРОВЕРИТЬ")</f>
        <v>OK</v>
      </c>
    </row>
    <row r="41" ht="27" customHeight="1">
      <c r="A41" s="2" t="inlineStr">
        <is>
          <t xml:space="preserve">Предварительный вывод</t>
        </is>
      </c>
    </row>
    <row r="43">
      <c r="A43" s="7" t="inlineStr">
        <is>
          <t xml:space="preserve">Лидер</t>
        </is>
      </c>
      <c r="B43" s="4" t="str">
        <f>IF(C18=1,A18,IF(C19=1,A19,IF(C20=1,A20,A21)))</f>
        <v>A1 — Pentest</v>
      </c>
    </row>
    <row r="44">
      <c r="A44" s="7" t="inlineStr">
        <is>
          <t xml:space="preserve">Вес лидера</t>
        </is>
      </c>
      <c r="B44" s="4">
        <f>MAX(B18:B21)</f>
        <v>0.29091348616981705</v>
      </c>
    </row>
    <row r="46" ht="27" customHeight="1">
      <c r="A46" s="6" t="inlineStr">
        <is>
          <t xml:space="preserve">Согласованность оценок (CR) не является подтверждением их независимости.</t>
        </is>
      </c>
    </row>
  </sheetData>
  <mergeCells count="7">
    <mergeCell ref="A1:L1"/>
    <mergeCell ref="A2:L2"/>
    <mergeCell ref="A4:L4"/>
    <mergeCell ref="A16:L16"/>
    <mergeCell ref="A27:L27"/>
    <mergeCell ref="A41:L41"/>
    <mergeCell ref="A46:L46"/>
  </mergeCells>
</worksheet>
</file>