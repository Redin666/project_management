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Методика" sheetId="1" state="visible" r:id="rId3"/>
    <sheet name="Редин" sheetId="2" state="visible" r:id="rId4"/>
    <sheet name="Шатков" sheetId="3" state="visible" r:id="rId5"/>
    <sheet name="Полищук" sheetId="4" state="visible" r:id="rId6"/>
    <sheet name="Коллективный" sheetId="5" state="visible" r:id="rId7"/>
    <sheet name="Итог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<sst xmlns="http://schemas.openxmlformats.org/spreadsheetml/2006/main" count="691" uniqueCount="111">
  <si>
    <t xml:space="preserve">Фаза 1 — Чёткий коллективный метод анализа иерархий (МАИ)</t>
  </si>
  <si>
    <t xml:space="preserve">Цель, критерии и исходные данные</t>
  </si>
  <si>
    <t xml:space="preserve">Концепции</t>
  </si>
  <si>
    <t xml:space="preserve">A1 — Pentest; A2 — DevSecOps; A3 — SOC; A4 — Security Audit</t>
  </si>
  <si>
    <t xml:space="preserve">Критерии</t>
  </si>
  <si>
    <t xml:space="preserve">K1–K4 Benefit (max); K5–K7 Cost (min).</t>
  </si>
  <si>
    <t xml:space="preserve">Эксперты</t>
  </si>
  <si>
    <t xml:space="preserve">Никита Редин, Павел Шатков, Владислав Полищук.</t>
  </si>
  <si>
    <t xml:space="preserve">Исходные баллы</t>
  </si>
  <si>
    <t xml:space="preserve">Черновик из expert-assessment/expert-ratings.csv (0–10).</t>
  </si>
  <si>
    <t xml:space="preserve">Источник</t>
  </si>
  <si>
    <t xml:space="preserve">https://github.com/Redin666/project_management/blob/main/phases/phase-01-concept-selection/expert-assessment/expert-ratings.csv</t>
  </si>
  <si>
    <t xml:space="preserve">Ограничение</t>
  </si>
  <si>
    <t xml:space="preserve">Матрицы получены из баллов эвристически, не являются независимо полученными суждениями.</t>
  </si>
  <si>
    <t xml:space="preserve">Этапы расчёта</t>
  </si>
  <si>
    <t xml:space="preserve">1. При равных исходных баллах a(i,j)=1; иначе сила предпочтения min(9, 1+|xi−xj|).</t>
  </si>
  <si>
    <t xml:space="preserve">2. Для benefit выше лучше, для cost ниже лучше; обратное суждение равно 1/a(i,j).</t>
  </si>
  <si>
    <t xml:space="preserve">3. Эксперт корректирует прямые попарные суждения в жёлтых ячейках индивидуальных листов.</t>
  </si>
  <si>
    <t xml:space="preserve">4. Каждая матрица положительная и обратно-симметричная, диагональ равна единице.</t>
  </si>
  <si>
    <t xml:space="preserve">5. Коллективная матрица равна поэлементному геометрическому среднему трёх матриц экспертов.</t>
  </si>
  <si>
    <t xml:space="preserve">6. Приоритет строки = геометрическое среднее / сумма всех геометрических средних.</t>
  </si>
  <si>
    <t xml:space="preserve">7. λmax ≈ среднее (A·w)i / wi; CI = max(0;(λmax−n)/(n−1)); CR = CI/RI.</t>
  </si>
  <si>
    <t xml:space="preserve">8. RI для матрицы 4×4 = 0,90 и 7×7 = 1,32. Допустимый CR ≤ 0,10.</t>
  </si>
  <si>
    <t xml:space="preserve">9. Общий приоритет = сумма произведений весов критериев на локальные приоритеты альтернатив.</t>
  </si>
  <si>
    <t xml:space="preserve">10. МАИ применяется к тем же 4 альтернативам и 7 критериям, что и TOPSIS.</t>
  </si>
  <si>
    <t xml:space="preserve">11. Итог предварительный, до сбора отдельных попарных экспертных суждений.</t>
  </si>
  <si>
    <t xml:space="preserve">Порядок работы</t>
  </si>
  <si>
    <t xml:space="preserve">1. Проверьте жёлтые ячейки на листах Редин, Шатков и Полищук.</t>
  </si>
  <si>
    <t xml:space="preserve">2. Добейтесь CR не более 0,10 для каждой индивидуальной и коллективной матрицы.</t>
  </si>
  <si>
    <t xml:space="preserve">3. На листе «Итог» проверьте суммарные приоритеты и рейтинг.</t>
  </si>
  <si>
    <t xml:space="preserve">4. Зафиксируйте экспертное подтверждение матриц перед итоговым выбором концепции.</t>
  </si>
  <si>
    <t xml:space="preserve">Чёткий МАИ — эксперт Редин</t>
  </si>
  <si>
    <t xml:space="preserve">Верхний треугольник — ввод; нижний — обратные формулы. Приоритеты и CR вычисляются автоматически.</t>
  </si>
  <si>
    <t xml:space="preserve">Этап 1. Веса критериев — матрица 7×7</t>
  </si>
  <si>
    <t xml:space="preserve">Элемент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</si>
  <si>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</si>
  <si>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</si>
  <si>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</si>
  <si>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</si>
  <si>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</si>
  <si>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K6</t>
  </si>
  <si>
    <t xml:space="preserve">K7</t>
  </si>
  <si>
    <t xml:space="preserve">Средн. геом.</t>
  </si>
  <si>
    <t xml:space="preserve">Приоритет</t>
  </si>
  <si>
    <t xml:space="preserve">λᵢ</t>
  </si>
  <si>
    <t xml:space="preserve">λmax</t>
  </si>
  <si>
    <t xml:space="preserve">CI</t>
  </si>
  <si>
    <t xml:space="preserve">RI</t>
  </si>
  <si>
    <t xml:space="preserve">CR</t>
  </si>
  <si>
    <t xml:space="preserve">CR ≤ 0,10</t>
  </si>
  <si>
    <t xml:space="preserve">Этап 2. K1 — Практическая значимость | Benefit</t>
  </si>
  <si>
    <t xml:space="preserve">A1</t>
  </si>
  <si>
    <t xml:space="preserve">A2</t>
  </si>
  <si>
    <t xml:space="preserve">A3</t>
  </si>
  <si>
    <t xml:space="preserve">A4</t>
  </si>
  <si>
    <t xml:space="preserve">Этап 3. K2 — Функциональная содержательность | Benefit</t>
  </si>
  <si>
    <t xml:space="preserve">Этап 4. K3 — Потенциал интеграции и развития | Benefit</t>
  </si>
  <si>
    <t xml:space="preserve">Этап 5. K4 — Демонстрационная и исследовательская ценность | Benefit</t>
  </si>
  <si>
    <t xml:space="preserve">Этап 6. K5 — Трудоёмкость реализации MVP | Cost</t>
  </si>
  <si>
    <t xml:space="preserve">Этап 7. K6 — Внешние зависимости MVP | Cost</t>
  </si>
  <si>
    <t xml:space="preserve">Этап 8. K7 — Эксплуатация и сопровождение MVP | Cost</t>
  </si>
  <si>
    <t xml:space="preserve">Чёткий МАИ — эксперт Шатков</t>
  </si>
  <si>
    <t xml:space="preserve">Чёткий МАИ — эксперт Полищук</t>
  </si>
  <si>
    <t xml:space="preserve">Фаза 1 — Чёткий коллективный МАИ</t>
  </si>
  <si>
    <t xml:space="preserve">Геометрическое среднее попарных сравнений трёх экспертов; Cost учтены обратным предпочтением.</t>
  </si>
  <si>
    <t xml:space="preserve">Локальные приоритеты и CR вычисляются из агрегированных матриц.</t>
  </si>
  <si>
    <t xml:space="preserve">Фаза 1 — Итоги чёткого коллективного МАИ</t>
  </si>
  <si>
    <t xml:space="preserve">Этап 1. Веса критериев и локальные приоритеты альтернатив</t>
  </si>
  <si>
    <t xml:space="preserve">Критерий</t>
  </si>
  <si>
    <t xml:space="preserve">Вес критерия</t>
  </si>
  <si>
    <t xml:space="preserve">A1 — Pentest</t>
  </si>
  <si>
    <t xml:space="preserve">A2 — DevSecOps</t>
  </si>
  <si>
    <t xml:space="preserve">A3 — SOC</t>
  </si>
  <si>
    <t xml:space="preserve">A4 — Audit</t>
  </si>
  <si>
    <t xml:space="preserve">Сумма A1–A4</t>
  </si>
  <si>
    <t xml:space="preserve">K1 — Практическая значимость</t>
  </si>
  <si>
    <t xml:space="preserve">K2 — Функциональная содержательность</t>
  </si>
  <si>
    <t xml:space="preserve">K3 — Потенциал интеграции и развития</t>
  </si>
  <si>
    <t xml:space="preserve">K4 — Демонстрационная и исследовательская ценность</t>
  </si>
  <si>
    <t xml:space="preserve">K5 — Трудоёмкость реализации MVP</t>
  </si>
  <si>
    <t xml:space="preserve">K6 — Внешние зависимости MVP</t>
  </si>
  <si>
    <t xml:space="preserve">K7 — Эксплуатация и сопровождение MVP</t>
  </si>
  <si>
    <t xml:space="preserve">Контроль суммы весов</t>
  </si>
  <si>
    <t xml:space="preserve">Этап 2. Общий рейтинг</t>
  </si>
  <si>
    <t xml:space="preserve">Концепция</t>
  </si>
  <si>
    <t xml:space="preserve">Глобальный вес</t>
  </si>
  <si>
    <t xml:space="preserve">Место</t>
  </si>
  <si>
    <t xml:space="preserve">Проверка</t>
  </si>
  <si>
    <t xml:space="preserve">Статус</t>
  </si>
  <si>
    <t xml:space="preserve">Черновик</t>
  </si>
  <si>
    <t xml:space="preserve">A4 — Security Audit</t>
  </si>
  <si>
    <t xml:space="preserve">Сумма глобальных весов</t>
  </si>
  <si>
    <t xml:space="preserve">Контроль суммы</t>
  </si>
  <si>
    <t xml:space="preserve">Этап 3. Проверка согласованности (CR)</t>
  </si>
  <si>
    <t xml:space="preserve">Матрица</t>
  </si>
  <si>
    <t xml:space="preserve">Редин</t>
  </si>
  <si>
    <t xml:space="preserve">Шатков</t>
  </si>
  <si>
    <t xml:space="preserve">Полищук</t>
  </si>
  <si>
    <t xml:space="preserve">Коллективный</t>
  </si>
  <si>
    <t xml:space="preserve">Веса критериев</t>
  </si>
  <si>
    <t xml:space="preserve">K1 — альтернативы</t>
  </si>
  <si>
    <t xml:space="preserve">K2 — альтернативы</t>
  </si>
  <si>
    <t xml:space="preserve">K3 — альтернативы</t>
  </si>
  <si>
    <t xml:space="preserve">K4 — альтернативы</t>
  </si>
  <si>
    <t xml:space="preserve">K5 — альтернативы</t>
  </si>
  <si>
    <t xml:space="preserve">K6 — альтернативы</t>
  </si>
  <si>
    <t xml:space="preserve">K7 — альтернативы</t>
  </si>
  <si>
    <t xml:space="preserve">Все CR ≤ 0,10?</t>
  </si>
  <si>
    <t xml:space="preserve">Предварительный вывод</t>
  </si>
  <si>
    <t xml:space="preserve">Лидер</t>
  </si>
  <si>
    <t xml:space="preserve">Вес лидера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</si>
</sst>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273548"/>
      <name val="Calibri"/>
      <family val="0"/>
      <charset val="1"/>
    </font>
    <font>
      <b val="true"/>
      <sz val="11"/>
      <color rgb="FF223C58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23C58"/>
        <bgColor rgb="FF273548"/>
      </patternFill>
    </fill>
    <fill>
      <patternFill patternType="solid">
        <fgColor rgb="FFFFE35D"/>
        <bgColor rgb="FFFFFF99"/>
      </patternFill>
    </fill>
    <fill>
      <patternFill patternType="solid">
        <fgColor rgb="FFF3F7FA"/>
        <bgColor rgb="FFE5F3FB"/>
      </patternFill>
    </fill>
    <fill>
      <patternFill patternType="solid">
        <fgColor rgb="FFE5F3FB"/>
        <bgColor rgb="FFF3F7FA"/>
      </patternFill>
    </fill>
    <fill>
      <patternFill patternType="solid">
        <fgColor rgb="FFFFF3BC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DF"/>
      </left>
      <right style="thin">
        <color rgb="FFCBD5DF"/>
      </right>
      <top style="thin">
        <color rgb="FFCBD5DF"/>
      </top>
      <bottom style="thin">
        <color rgb="FFCBD5DF"/>
      </bottom>
      <diagonal/>
    </border>
    <border diagonalUp="false" diagonalDown="false">
      <left style="thin">
        <color rgb="FFCBD5DF"/>
      </left>
      <right/>
      <top style="thin">
        <color rgb="FFCBD5DF"/>
      </top>
      <bottom style="thin">
        <color rgb="FFCBD5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BC"/>
      <rgbColor rgb="FFE5F3FB"/>
      <rgbColor rgb="FF660066"/>
      <rgbColor rgb="FFFF8080"/>
      <rgbColor rgb="FF0066CC"/>
      <rgbColor rgb="FFCBD5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A"/>
      <rgbColor rgb="FFCCFFCC"/>
      <rgbColor rgb="FFFFFF99"/>
      <rgbColor rgb="FF99CCFF"/>
      <rgbColor rgb="FFFF99CC"/>
      <rgbColor rgb="FFCC99FF"/>
      <rgbColor rgb="FFFFE35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223C58"/>
      <rgbColor rgb="FF339966"/>
      <rgbColor rgb="FF003300"/>
      <rgbColor rgb="FF333300"/>
      <rgbColor rgb="FF993300"/>
      <rgbColor rgb="FF993366"/>
      <rgbColor rgb="FF333399"/>
      <rgbColor rgb="FF2735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3" activeCellId="0" sqref="A3"/>
    </sheetView>
  </sheetViews>
  <sheetFormatPr defaultColWidth="8.6796875" defaultRowHeight="19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5"/>
    <col collapsed="false" customWidth="true" hidden="false" outlineLevel="0" max="12" min="9" style="0" width="19"/>
  </cols>
  <sheetData>
    <row r="1" customFormat="false" ht="27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27" hidden="false" customHeight="true" outlineLevel="0" collapsed="false"/>
    <row r="4" customFormat="false" ht="19" hidden="false" customHeight="false" outlineLevel="0" collapsed="false">
      <c r="A4" s="2" t="s">
        <v>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27" hidden="false" customHeight="true" outlineLevel="0" collapsed="false"/>
    <row r="6" customFormat="false" ht="19" hidden="false" customHeight="false" outlineLevel="0" collapsed="false">
      <c r="A6" s="3" t="s">
        <v>2</v>
      </c>
      <c r="B6" s="4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</row>
    <row r="7" customFormat="false" ht="19" hidden="false" customHeight="false" outlineLevel="0" collapsed="false">
      <c r="A7" s="3" t="s">
        <v>4</v>
      </c>
      <c r="B7" s="4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</row>
    <row r="8" customFormat="false" ht="19" hidden="false" customHeight="false" outlineLevel="0" collapsed="false">
      <c r="A8" s="3" t="s">
        <v>6</v>
      </c>
      <c r="B8" s="4" t="s">
        <v>7</v>
      </c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19" hidden="false" customHeight="false" outlineLevel="0" collapsed="false">
      <c r="A9" s="3" t="s">
        <v>8</v>
      </c>
      <c r="B9" s="4" t="s">
        <v>9</v>
      </c>
      <c r="C9" s="4"/>
      <c r="D9" s="4"/>
      <c r="E9" s="4"/>
      <c r="F9" s="4"/>
      <c r="G9" s="4"/>
      <c r="H9" s="4"/>
      <c r="I9" s="4"/>
      <c r="J9" s="4"/>
      <c r="K9" s="4"/>
      <c r="L9" s="4"/>
    </row>
    <row r="10" customFormat="false" ht="19" hidden="false" customHeight="false" outlineLevel="0" collapsed="false">
      <c r="A10" s="3" t="s">
        <v>10</v>
      </c>
      <c r="B10" s="4" t="s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</row>
    <row r="11" customFormat="false" ht="19" hidden="false" customHeight="false" outlineLevel="0" collapsed="false">
      <c r="A11" s="3" t="s">
        <v>12</v>
      </c>
      <c r="B11" s="4" t="s">
        <v>13</v>
      </c>
      <c r="C11" s="4"/>
      <c r="D11" s="4"/>
      <c r="E11" s="4"/>
      <c r="F11" s="4"/>
      <c r="G11" s="4"/>
      <c r="H11" s="4"/>
      <c r="I11" s="4"/>
      <c r="J11" s="4"/>
      <c r="K11" s="4"/>
      <c r="L11" s="4"/>
    </row>
    <row r="14" customFormat="false" ht="19" hidden="false" customHeight="false" outlineLevel="0" collapsed="false">
      <c r="A14" s="2" t="s">
        <v>14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27" hidden="false" customHeight="true" outlineLevel="0" collapsed="false"/>
    <row r="16" customFormat="false" ht="19" hidden="false" customHeight="false" outlineLevel="0" collapsed="false">
      <c r="A16" s="4" t="s">
        <v>15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9" hidden="false" customHeight="false" outlineLevel="0" collapsed="false">
      <c r="A17" s="4" t="s">
        <v>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9" hidden="false" customHeight="false" outlineLevel="0" collapsed="false">
      <c r="A18" s="4" t="s">
        <v>17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9" hidden="false" customHeight="false" outlineLevel="0" collapsed="false">
      <c r="A19" s="4" t="s"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customFormat="false" ht="19" hidden="false" customHeight="false" outlineLevel="0" collapsed="false">
      <c r="A20" s="4" t="s">
        <v>19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customFormat="false" ht="19" hidden="false" customHeight="false" outlineLevel="0" collapsed="false">
      <c r="A21" s="4" t="s">
        <v>20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customFormat="false" ht="19" hidden="false" customHeight="false" outlineLevel="0" collapsed="false">
      <c r="A22" s="4" t="s">
        <v>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customFormat="false" ht="19" hidden="false" customHeight="false" outlineLevel="0" collapsed="false">
      <c r="A23" s="4" t="s">
        <v>22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customFormat="false" ht="19" hidden="false" customHeight="false" outlineLevel="0" collapsed="false">
      <c r="A24" s="4" t="s">
        <v>23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customFormat="false" ht="19" hidden="false" customHeight="false" outlineLevel="0" collapsed="false">
      <c r="A25" s="4" t="s">
        <v>24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customFormat="false" ht="19" hidden="false" customHeight="false" outlineLevel="0" collapsed="false">
      <c r="A26" s="4" t="s">
        <v>25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9" customFormat="false" ht="19" hidden="false" customHeight="false" outlineLevel="0" collapsed="false">
      <c r="A29" s="2" t="s">
        <v>26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27" hidden="false" customHeight="true" outlineLevel="0" collapsed="false"/>
    <row r="31" customFormat="false" ht="19" hidden="false" customHeight="false" outlineLevel="0" collapsed="false">
      <c r="A31" s="4" t="s">
        <v>27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customFormat="false" ht="19" hidden="false" customHeight="false" outlineLevel="0" collapsed="false">
      <c r="A32" s="4" t="s">
        <v>28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customFormat="false" ht="19" hidden="false" customHeight="false" outlineLevel="0" collapsed="false">
      <c r="A33" s="4" t="s">
        <v>29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customFormat="false" ht="19" hidden="false" customHeight="false" outlineLevel="0" collapsed="false">
      <c r="A34" s="4" t="s">
        <v>30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</sheetData>
  <mergeCells count="25">
    <mergeCell ref="A1:L1"/>
    <mergeCell ref="A4:L4"/>
    <mergeCell ref="B6:L6"/>
    <mergeCell ref="B7:L7"/>
    <mergeCell ref="B8:L8"/>
    <mergeCell ref="B9:L9"/>
    <mergeCell ref="B10:L10"/>
    <mergeCell ref="B11:L11"/>
    <mergeCell ref="A14:L14"/>
    <mergeCell ref="A16:L16"/>
    <mergeCell ref="A17:L17"/>
    <mergeCell ref="A18:L18"/>
    <mergeCell ref="A19:L19"/>
    <mergeCell ref="A20:L20"/>
    <mergeCell ref="A21:L21"/>
    <mergeCell ref="A22:L22"/>
    <mergeCell ref="A23:L23"/>
    <mergeCell ref="A24:L24"/>
    <mergeCell ref="A25:L25"/>
    <mergeCell ref="A26:L26"/>
    <mergeCell ref="A29:L29"/>
    <mergeCell ref="A31:L31"/>
    <mergeCell ref="A32:L32"/>
    <mergeCell ref="A33:L33"/>
    <mergeCell ref="A34:L34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9" zeroHeight="false" outlineLevelRow="0" outlineLevelCol="0"/>
  <cols>
    <col collapsed="false" customWidth="true" hidden="false" outlineLevel="0" max="1" min="1" style="0" width="37"/>
    <col collapsed="false" customWidth="true" hidden="false" outlineLevel="0" max="8" min="2" style="0" width="16"/>
    <col collapsed="false" customWidth="true" hidden="false" outlineLevel="0" max="12" min="9" style="0" width="19"/>
  </cols>
  <sheetData>
    <row r="1" customFormat="false" ht="27" hidden="false" customHeight="true" outlineLevel="0" collapsed="false">
      <c r="A1" s="1" t="s">
        <v>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" hidden="false" customHeight="true" outlineLevel="0" collapsed="false">
      <c r="A2" s="5" t="s">
        <v>32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7" hidden="false" customHeight="true" outlineLevel="0" collapsed="false"/>
    <row r="6" customFormat="false" ht="19" hidden="false" customHeight="false" outlineLevel="0" collapsed="false">
      <c r="A6" s="2" t="s">
        <v>33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27" hidden="false" customHeight="true" outlineLevel="0" collapsed="false">
      <c r="A7" s="6" t="s">
        <v>34</v>
      </c>
      <c r="B7" s="6" t="s">
        <v>35</v>
      </c>
      <c r="C7" s="6" t="s">
        <v>36</v>
      </c>
      <c r="D7" s="6" t="s">
        <v>37</v>
      </c>
      <c r="E7" s="6" t="s">
        <v>38</v>
      </c>
      <c r="F7" s="6" t="s">
        <v>39</v>
      </c>
      <c r="G7" s="6" t="s">
        <v>40</v>
      </c>
      <c r="H7" s="6" t="s">
        <v>41</v>
      </c>
      <c r="I7" s="6" t="s">
        <v>42</v>
      </c>
      <c r="J7" s="6" t="s">
        <v>43</v>
      </c>
      <c r="K7" s="6" t="s">
        <v>44</v>
      </c>
    </row>
    <row r="8" customFormat="false" ht="19" hidden="false" customHeight="false" outlineLevel="0" collapsed="false">
      <c r="A8" s="3" t="s">
        <v>35</v>
      </c>
      <c r="B8" s="7" t="n">
        <v>1</v>
      </c>
      <c r="C8" s="8" t="n">
        <v>3</v>
      </c>
      <c r="D8" s="8" t="n">
        <v>3</v>
      </c>
      <c r="E8" s="8" t="n">
        <v>2</v>
      </c>
      <c r="F8" s="8" t="n">
        <v>2</v>
      </c>
      <c r="G8" s="8" t="n">
        <v>4</v>
      </c>
      <c r="H8" s="8" t="n">
        <v>4</v>
      </c>
      <c r="I8" s="9" t="n">
        <f aca="false">PRODUCT(B8:H8)^(1/7)</f>
        <v>2.47939698673123</v>
      </c>
      <c r="J8" s="9" t="n">
        <f aca="false">I8/SUM($I$8:$I$14)</f>
        <v>0.302563510735285</v>
      </c>
      <c r="K8" s="7" t="n">
        <f aca="false">(B8*$J$8+C8*$J$9+D8*$J$10+E8*$J$11+F8*$J$12+G8*$J$13+H8*$J$14)/J8</f>
        <v>7.09285424096055</v>
      </c>
    </row>
    <row r="9" customFormat="false" ht="19" hidden="false" customHeight="false" outlineLevel="0" collapsed="false">
      <c r="A9" s="3" t="s">
        <v>36</v>
      </c>
      <c r="B9" s="7" t="n">
        <f aca="false">1/C8</f>
        <v>0.333333333333333</v>
      </c>
      <c r="C9" s="7" t="n">
        <v>1</v>
      </c>
      <c r="D9" s="8" t="n">
        <v>1</v>
      </c>
      <c r="E9" s="8" t="n">
        <v>0.5</v>
      </c>
      <c r="F9" s="8" t="n">
        <v>0.5</v>
      </c>
      <c r="G9" s="8" t="n">
        <v>2</v>
      </c>
      <c r="H9" s="8" t="n">
        <v>2</v>
      </c>
      <c r="I9" s="9" t="n">
        <f aca="false">PRODUCT(B9:H9)^(1/7)</f>
        <v>0.854751399907152</v>
      </c>
      <c r="J9" s="9" t="n">
        <f aca="false">I9/SUM($I$8:$I$14)</f>
        <v>0.104306242907377</v>
      </c>
      <c r="K9" s="7" t="n">
        <f aca="false">(B9*$J$8+C9*$J$9+D9*$J$10+E9*$J$11+F9*$J$12+G9*$J$13+H9*$J$14)/J9</f>
        <v>7.03573822200882</v>
      </c>
    </row>
    <row r="10" customFormat="false" ht="19" hidden="false" customHeight="false" outlineLevel="0" collapsed="false">
      <c r="A10" s="3" t="s">
        <v>37</v>
      </c>
      <c r="B10" s="7" t="n">
        <f aca="false">1/D8</f>
        <v>0.333333333333333</v>
      </c>
      <c r="C10" s="7" t="n">
        <f aca="false">1/D9</f>
        <v>1</v>
      </c>
      <c r="D10" s="7" t="n">
        <v>1</v>
      </c>
      <c r="E10" s="8" t="n">
        <v>0.5</v>
      </c>
      <c r="F10" s="8" t="n">
        <v>0.5</v>
      </c>
      <c r="G10" s="8" t="n">
        <v>2</v>
      </c>
      <c r="H10" s="8" t="n">
        <v>2</v>
      </c>
      <c r="I10" s="9" t="n">
        <f aca="false">PRODUCT(B10:H10)^(1/7)</f>
        <v>0.854751399907152</v>
      </c>
      <c r="J10" s="9" t="n">
        <f aca="false">I10/SUM($I$8:$I$14)</f>
        <v>0.104306242907377</v>
      </c>
      <c r="K10" s="7" t="n">
        <f aca="false">(B10*$J$8+C10*$J$9+D10*$J$10+E10*$J$11+F10*$J$12+G10*$J$13+H10*$J$14)/J10</f>
        <v>7.03573822200882</v>
      </c>
    </row>
    <row r="11" customFormat="false" ht="19" hidden="false" customHeight="false" outlineLevel="0" collapsed="false">
      <c r="A11" s="3" t="s">
        <v>38</v>
      </c>
      <c r="B11" s="7" t="n">
        <f aca="false">1/E8</f>
        <v>0.5</v>
      </c>
      <c r="C11" s="7" t="n">
        <f aca="false">1/E9</f>
        <v>2</v>
      </c>
      <c r="D11" s="7" t="n">
        <f aca="false">1/E10</f>
        <v>2</v>
      </c>
      <c r="E11" s="7" t="n">
        <v>1</v>
      </c>
      <c r="F11" s="8" t="n">
        <v>1</v>
      </c>
      <c r="G11" s="8" t="n">
        <v>3</v>
      </c>
      <c r="H11" s="8" t="n">
        <v>3</v>
      </c>
      <c r="I11" s="9" t="n">
        <f aca="false">PRODUCT(B11:H11)^(1/7)</f>
        <v>1.5112093905094</v>
      </c>
      <c r="J11" s="9" t="n">
        <f aca="false">I11/SUM($I$8:$I$14)</f>
        <v>0.184414525425177</v>
      </c>
      <c r="K11" s="7" t="n">
        <f aca="false">(B11*$J$8+C11*$J$9+D11*$J$10+E11*$J$11+F11*$J$12+G11*$J$13+H11*$J$14)/J11</f>
        <v>7.0348072238631</v>
      </c>
    </row>
    <row r="12" customFormat="false" ht="19" hidden="false" customHeight="false" outlineLevel="0" collapsed="false">
      <c r="A12" s="3" t="s">
        <v>39</v>
      </c>
      <c r="B12" s="7" t="n">
        <f aca="false">1/F8</f>
        <v>0.5</v>
      </c>
      <c r="C12" s="7" t="n">
        <f aca="false">1/F9</f>
        <v>2</v>
      </c>
      <c r="D12" s="7" t="n">
        <f aca="false">1/F10</f>
        <v>2</v>
      </c>
      <c r="E12" s="7" t="n">
        <f aca="false">1/F11</f>
        <v>1</v>
      </c>
      <c r="F12" s="7" t="n">
        <v>1</v>
      </c>
      <c r="G12" s="8" t="n">
        <v>3</v>
      </c>
      <c r="H12" s="8" t="n">
        <v>3</v>
      </c>
      <c r="I12" s="9" t="n">
        <f aca="false">PRODUCT(B12:H12)^(1/7)</f>
        <v>1.5112093905094</v>
      </c>
      <c r="J12" s="9" t="n">
        <f aca="false">I12/SUM($I$8:$I$14)</f>
        <v>0.184414525425177</v>
      </c>
      <c r="K12" s="7" t="n">
        <f aca="false">(B12*$J$8+C12*$J$9+D12*$J$10+E12*$J$11+F12*$J$12+G12*$J$13+H12*$J$14)/J12</f>
        <v>7.0348072238631</v>
      </c>
    </row>
    <row r="13" customFormat="false" ht="19" hidden="false" customHeight="false" outlineLevel="0" collapsed="false">
      <c r="A13" s="3" t="s">
        <v>40</v>
      </c>
      <c r="B13" s="7" t="n">
        <f aca="false">1/G8</f>
        <v>0.25</v>
      </c>
      <c r="C13" s="7" t="n">
        <f aca="false">1/G9</f>
        <v>0.5</v>
      </c>
      <c r="D13" s="7" t="n">
        <f aca="false">1/G10</f>
        <v>0.5</v>
      </c>
      <c r="E13" s="7" t="n">
        <f aca="false">1/G11</f>
        <v>0.333333333333333</v>
      </c>
      <c r="F13" s="7" t="n">
        <f aca="false">1/G12</f>
        <v>0.333333333333333</v>
      </c>
      <c r="G13" s="7" t="n">
        <v>1</v>
      </c>
      <c r="H13" s="8" t="n">
        <v>1</v>
      </c>
      <c r="I13" s="9" t="n">
        <f aca="false">PRODUCT(B13:H13)^(1/7)</f>
        <v>0.491657310518711</v>
      </c>
      <c r="J13" s="9" t="n">
        <f aca="false">I13/SUM($I$8:$I$14)</f>
        <v>0.0599974762998027</v>
      </c>
      <c r="K13" s="7" t="n">
        <f aca="false">(B13*$J$8+C13*$J$9+D13*$J$10+E13*$J$11+F13*$J$12+G13*$J$13+H13*$J$14)/J13</f>
        <v>7.04838130237009</v>
      </c>
    </row>
    <row r="14" customFormat="false" ht="19" hidden="false" customHeight="false" outlineLevel="0" collapsed="false">
      <c r="A14" s="3" t="s">
        <v>41</v>
      </c>
      <c r="B14" s="7" t="n">
        <f aca="false">1/H8</f>
        <v>0.25</v>
      </c>
      <c r="C14" s="7" t="n">
        <f aca="false">1/H9</f>
        <v>0.5</v>
      </c>
      <c r="D14" s="7" t="n">
        <f aca="false">1/H10</f>
        <v>0.5</v>
      </c>
      <c r="E14" s="7" t="n">
        <f aca="false">1/H11</f>
        <v>0.333333333333333</v>
      </c>
      <c r="F14" s="7" t="n">
        <f aca="false">1/H12</f>
        <v>0.333333333333333</v>
      </c>
      <c r="G14" s="7" t="n">
        <f aca="false">1/H13</f>
        <v>1</v>
      </c>
      <c r="H14" s="7" t="n">
        <v>1</v>
      </c>
      <c r="I14" s="9" t="n">
        <f aca="false">PRODUCT(B14:H14)^(1/7)</f>
        <v>0.491657310518711</v>
      </c>
      <c r="J14" s="9" t="n">
        <f aca="false">I14/SUM($I$8:$I$14)</f>
        <v>0.0599974762998027</v>
      </c>
      <c r="K14" s="7" t="n">
        <f aca="false">(B14*$J$8+C14*$J$9+D14*$J$10+E14*$J$11+F14*$J$12+G14*$J$13+H14*$J$14)/J14</f>
        <v>7.04838130237009</v>
      </c>
    </row>
    <row r="16" customFormat="false" ht="19" hidden="false" customHeight="false" outlineLevel="0" collapsed="false">
      <c r="H16" s="3" t="s">
        <v>45</v>
      </c>
      <c r="I16" s="7" t="n">
        <f aca="false">AVERAGE(K8:K14)</f>
        <v>7.04724396249208</v>
      </c>
    </row>
    <row r="17" customFormat="false" ht="19" hidden="false" customHeight="false" outlineLevel="0" collapsed="false">
      <c r="H17" s="3" t="s">
        <v>46</v>
      </c>
      <c r="I17" s="7" t="n">
        <f aca="false">MAX(0,(I16-7)/(7-1))</f>
        <v>0.00787399374868025</v>
      </c>
    </row>
    <row r="18" customFormat="false" ht="19" hidden="false" customHeight="false" outlineLevel="0" collapsed="false">
      <c r="H18" s="3" t="s">
        <v>47</v>
      </c>
      <c r="I18" s="7" t="n">
        <v>1.32</v>
      </c>
    </row>
    <row r="19" customFormat="false" ht="19" hidden="false" customHeight="false" outlineLevel="0" collapsed="false">
      <c r="H19" s="3" t="s">
        <v>48</v>
      </c>
      <c r="I19" s="7" t="n">
        <f aca="false">I17/I18</f>
        <v>0.00596514677930322</v>
      </c>
      <c r="J19" s="3" t="s">
        <v>49</v>
      </c>
      <c r="K19" s="6" t="str">
        <f aca="false">IF(I19&lt;=0.1,"OK","ПРОВЕРИТЬ")</f>
        <v>OK</v>
      </c>
    </row>
    <row r="27" customFormat="false" ht="19" hidden="false" customHeight="false" outlineLevel="0" collapsed="false">
      <c r="A27" s="2" t="s">
        <v>50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27" hidden="false" customHeight="true" outlineLevel="0" collapsed="false">
      <c r="A28" s="6" t="s">
        <v>34</v>
      </c>
      <c r="B28" s="6" t="s">
        <v>51</v>
      </c>
      <c r="C28" s="6" t="s">
        <v>52</v>
      </c>
      <c r="D28" s="6" t="s">
        <v>53</v>
      </c>
      <c r="E28" s="6" t="s">
        <v>54</v>
      </c>
      <c r="I28" s="6" t="s">
        <v>42</v>
      </c>
      <c r="J28" s="6" t="s">
        <v>43</v>
      </c>
      <c r="K28" s="6" t="s">
        <v>44</v>
      </c>
    </row>
    <row r="29" customFormat="false" ht="19" hidden="false" customHeight="false" outlineLevel="0" collapsed="false">
      <c r="A29" s="3" t="s">
        <v>51</v>
      </c>
      <c r="B29" s="7" t="n">
        <v>1</v>
      </c>
      <c r="C29" s="8" t="n">
        <v>1</v>
      </c>
      <c r="D29" s="8" t="n">
        <v>0.5</v>
      </c>
      <c r="E29" s="8" t="n">
        <v>3</v>
      </c>
      <c r="I29" s="9" t="n">
        <f aca="false">PRODUCT(B29:E29)^(1/4)</f>
        <v>1.10668191970032</v>
      </c>
      <c r="J29" s="9" t="n">
        <f aca="false">I29/SUM($I$29:$I$32)</f>
        <v>0.239457983189248</v>
      </c>
      <c r="K29" s="7" t="n">
        <f aca="false">(B29*$J$29+C29*$J$30+D29*$J$31+E29*$J$32)/J29</f>
        <v>4.01028392331017</v>
      </c>
    </row>
    <row r="30" customFormat="false" ht="19" hidden="false" customHeight="false" outlineLevel="0" collapsed="false">
      <c r="A30" s="3" t="s">
        <v>52</v>
      </c>
      <c r="B30" s="7" t="n">
        <f aca="false">1/C29</f>
        <v>1</v>
      </c>
      <c r="C30" s="7" t="n">
        <v>1</v>
      </c>
      <c r="D30" s="8" t="n">
        <v>0.5</v>
      </c>
      <c r="E30" s="8" t="n">
        <v>3</v>
      </c>
      <c r="I30" s="9" t="n">
        <f aca="false">PRODUCT(B30:E30)^(1/4)</f>
        <v>1.10668191970032</v>
      </c>
      <c r="J30" s="9" t="n">
        <f aca="false">I30/SUM($I$29:$I$32)</f>
        <v>0.239457983189248</v>
      </c>
      <c r="K30" s="7" t="n">
        <f aca="false">(B30*$J$29+C30*$J$30+D30*$J$31+E30*$J$32)/J30</f>
        <v>4.01028392331017</v>
      </c>
    </row>
    <row r="31" customFormat="false" ht="19" hidden="false" customHeight="false" outlineLevel="0" collapsed="false">
      <c r="A31" s="3" t="s">
        <v>53</v>
      </c>
      <c r="B31" s="7" t="n">
        <f aca="false">1/D29</f>
        <v>2</v>
      </c>
      <c r="C31" s="7" t="n">
        <f aca="false">1/D30</f>
        <v>2</v>
      </c>
      <c r="D31" s="7" t="n">
        <v>1</v>
      </c>
      <c r="E31" s="8" t="n">
        <v>4</v>
      </c>
      <c r="I31" s="9" t="n">
        <f aca="false">PRODUCT(B31:E31)^(1/4)</f>
        <v>2</v>
      </c>
      <c r="J31" s="9" t="n">
        <f aca="false">I31/SUM($I$29:$I$32)</f>
        <v>0.432749426780355</v>
      </c>
      <c r="K31" s="7" t="n">
        <f aca="false">(B31*$J$29+C31*$J$30+D31*$J$31+E31*$J$32)/J31</f>
        <v>4.02986042032837</v>
      </c>
    </row>
    <row r="32" customFormat="false" ht="19" hidden="false" customHeight="false" outlineLevel="0" collapsed="false">
      <c r="A32" s="3" t="s">
        <v>54</v>
      </c>
      <c r="B32" s="7" t="n">
        <f aca="false">1/E29</f>
        <v>0.333333333333333</v>
      </c>
      <c r="C32" s="7" t="n">
        <f aca="false">1/E30</f>
        <v>0.333333333333333</v>
      </c>
      <c r="D32" s="7" t="n">
        <f aca="false">1/E31</f>
        <v>0.25</v>
      </c>
      <c r="E32" s="7" t="n">
        <v>1</v>
      </c>
      <c r="I32" s="9" t="n">
        <f aca="false">PRODUCT(B32:E32)^(1/4)</f>
        <v>0.408248290463863</v>
      </c>
      <c r="J32" s="9" t="n">
        <f aca="false">I32/SUM($I$29:$I$32)</f>
        <v>0.0883346068411483</v>
      </c>
      <c r="K32" s="7" t="n">
        <f aca="false">(B32*$J$29+C32*$J$30+D32*$J$31+E32*$J$32)/J32</f>
        <v>4.03194887861128</v>
      </c>
    </row>
    <row r="34" customFormat="false" ht="19" hidden="false" customHeight="false" outlineLevel="0" collapsed="false">
      <c r="H34" s="3" t="s">
        <v>45</v>
      </c>
      <c r="I34" s="7" t="n">
        <f aca="false">AVERAGE(K29:K32)</f>
        <v>4.02059428639</v>
      </c>
    </row>
    <row r="35" customFormat="false" ht="19" hidden="false" customHeight="false" outlineLevel="0" collapsed="false">
      <c r="H35" s="3" t="s">
        <v>46</v>
      </c>
      <c r="I35" s="7" t="n">
        <f aca="false">MAX(0,(I34-4)/(4-1))</f>
        <v>0.00686476212999843</v>
      </c>
    </row>
    <row r="36" customFormat="false" ht="19" hidden="false" customHeight="false" outlineLevel="0" collapsed="false">
      <c r="H36" s="3" t="s">
        <v>47</v>
      </c>
      <c r="I36" s="7" t="n">
        <v>0.9</v>
      </c>
    </row>
    <row r="37" customFormat="false" ht="19" hidden="false" customHeight="false" outlineLevel="0" collapsed="false">
      <c r="H37" s="3" t="s">
        <v>48</v>
      </c>
      <c r="I37" s="7" t="n">
        <f aca="false">I35/I36</f>
        <v>0.00762751347777603</v>
      </c>
      <c r="J37" s="3" t="s">
        <v>49</v>
      </c>
      <c r="K37" s="6" t="str">
        <f aca="false">IF(I37&lt;=0.1,"OK","ПРОВЕРИТЬ")</f>
        <v>OK</v>
      </c>
    </row>
    <row r="42" customFormat="false" ht="19" hidden="false" customHeight="false" outlineLevel="0" collapsed="false">
      <c r="A42" s="2" t="s">
        <v>55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27" hidden="false" customHeight="true" outlineLevel="0" collapsed="false">
      <c r="A43" s="6" t="s">
        <v>34</v>
      </c>
      <c r="B43" s="6" t="s">
        <v>51</v>
      </c>
      <c r="C43" s="6" t="s">
        <v>52</v>
      </c>
      <c r="D43" s="6" t="s">
        <v>53</v>
      </c>
      <c r="E43" s="6" t="s">
        <v>54</v>
      </c>
      <c r="I43" s="6" t="s">
        <v>42</v>
      </c>
      <c r="J43" s="6" t="s">
        <v>43</v>
      </c>
      <c r="K43" s="6" t="s">
        <v>44</v>
      </c>
    </row>
    <row r="44" customFormat="false" ht="19" hidden="false" customHeight="false" outlineLevel="0" collapsed="false">
      <c r="A44" s="3" t="s">
        <v>51</v>
      </c>
      <c r="B44" s="7" t="n">
        <v>1</v>
      </c>
      <c r="C44" s="8" t="n">
        <v>0.5</v>
      </c>
      <c r="D44" s="8" t="n">
        <v>0.5</v>
      </c>
      <c r="E44" s="8" t="n">
        <v>2</v>
      </c>
      <c r="I44" s="9" t="n">
        <f aca="false">PRODUCT(B44:E44)^(1/4)</f>
        <v>0.840896415253715</v>
      </c>
      <c r="J44" s="9" t="n">
        <f aca="false">I44/SUM($I$44:$I$47)</f>
        <v>0.188687444087188</v>
      </c>
      <c r="K44" s="7" t="n">
        <f aca="false">(B44*$J$44+C44*$J$45+D44*$J$46+E44*$J$47)/J44</f>
        <v>4.01591025658345</v>
      </c>
    </row>
    <row r="45" customFormat="false" ht="19" hidden="false" customHeight="false" outlineLevel="0" collapsed="false">
      <c r="A45" s="3" t="s">
        <v>52</v>
      </c>
      <c r="B45" s="7" t="n">
        <f aca="false">1/C44</f>
        <v>2</v>
      </c>
      <c r="C45" s="7" t="n">
        <v>1</v>
      </c>
      <c r="D45" s="8" t="n">
        <v>1</v>
      </c>
      <c r="E45" s="8" t="n">
        <v>3</v>
      </c>
      <c r="I45" s="9" t="n">
        <f aca="false">PRODUCT(B45:E45)^(1/4)</f>
        <v>1.56508458007329</v>
      </c>
      <c r="J45" s="9" t="n">
        <f aca="false">I45/SUM($I$44:$I$47)</f>
        <v>0.351186904638186</v>
      </c>
      <c r="K45" s="7" t="n">
        <f aca="false">(B45*$J$44+C45*$J$45+D45*$J$46+E45*$J$47)/J45</f>
        <v>4.00517479092564</v>
      </c>
    </row>
    <row r="46" customFormat="false" ht="19" hidden="false" customHeight="false" outlineLevel="0" collapsed="false">
      <c r="A46" s="3" t="s">
        <v>53</v>
      </c>
      <c r="B46" s="7" t="n">
        <f aca="false">1/D44</f>
        <v>2</v>
      </c>
      <c r="C46" s="7" t="n">
        <f aca="false">1/D45</f>
        <v>1</v>
      </c>
      <c r="D46" s="7" t="n">
        <v>1</v>
      </c>
      <c r="E46" s="8" t="n">
        <v>3</v>
      </c>
      <c r="I46" s="9" t="n">
        <f aca="false">PRODUCT(B46:E46)^(1/4)</f>
        <v>1.56508458007329</v>
      </c>
      <c r="J46" s="9" t="n">
        <f aca="false">I46/SUM($I$44:$I$47)</f>
        <v>0.351186904638186</v>
      </c>
      <c r="K46" s="7" t="n">
        <f aca="false">(B46*$J$44+C46*$J$45+D46*$J$46+E46*$J$47)/J46</f>
        <v>4.00517479092564</v>
      </c>
    </row>
    <row r="47" customFormat="false" ht="19" hidden="false" customHeight="false" outlineLevel="0" collapsed="false">
      <c r="A47" s="3" t="s">
        <v>54</v>
      </c>
      <c r="B47" s="7" t="n">
        <f aca="false">1/E44</f>
        <v>0.5</v>
      </c>
      <c r="C47" s="7" t="n">
        <f aca="false">1/E45</f>
        <v>0.333333333333333</v>
      </c>
      <c r="D47" s="7" t="n">
        <f aca="false">1/E46</f>
        <v>0.333333333333333</v>
      </c>
      <c r="E47" s="7" t="n">
        <v>1</v>
      </c>
      <c r="I47" s="9" t="n">
        <f aca="false">PRODUCT(B47:E47)^(1/4)</f>
        <v>0.485491771707323</v>
      </c>
      <c r="J47" s="9" t="n">
        <f aca="false">I47/SUM($I$44:$I$47)</f>
        <v>0.10893874663644</v>
      </c>
      <c r="K47" s="7" t="n">
        <f aca="false">(B47*$J$44+C47*$J$45+D47*$J$46+E47*$J$47)/J47</f>
        <v>4.01516526743152</v>
      </c>
    </row>
    <row r="49" customFormat="false" ht="19" hidden="false" customHeight="false" outlineLevel="0" collapsed="false">
      <c r="H49" s="3" t="s">
        <v>45</v>
      </c>
      <c r="I49" s="7" t="n">
        <f aca="false">AVERAGE(K44:K47)</f>
        <v>4.01035627646656</v>
      </c>
    </row>
    <row r="50" customFormat="false" ht="19" hidden="false" customHeight="false" outlineLevel="0" collapsed="false">
      <c r="H50" s="3" t="s">
        <v>46</v>
      </c>
      <c r="I50" s="7" t="n">
        <f aca="false">MAX(0,(I49-4)/(4-1))</f>
        <v>0.00345209215552137</v>
      </c>
    </row>
    <row r="51" customFormat="false" ht="19" hidden="false" customHeight="false" outlineLevel="0" collapsed="false">
      <c r="H51" s="3" t="s">
        <v>47</v>
      </c>
      <c r="I51" s="7" t="n">
        <v>0.9</v>
      </c>
    </row>
    <row r="52" customFormat="false" ht="19" hidden="false" customHeight="false" outlineLevel="0" collapsed="false">
      <c r="H52" s="3" t="s">
        <v>48</v>
      </c>
      <c r="I52" s="7" t="n">
        <f aca="false">I50/I51</f>
        <v>0.0038356579505793</v>
      </c>
      <c r="J52" s="3" t="s">
        <v>49</v>
      </c>
      <c r="K52" s="6" t="str">
        <f aca="false">IF(I52&lt;=0.1,"OK","ПРОВЕРИТЬ")</f>
        <v>OK</v>
      </c>
    </row>
    <row r="57" customFormat="false" ht="19" hidden="false" customHeight="false" outlineLevel="0" collapsed="false">
      <c r="A57" s="2" t="s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7" hidden="false" customHeight="true" outlineLevel="0" collapsed="false">
      <c r="A58" s="6" t="s">
        <v>34</v>
      </c>
      <c r="B58" s="6" t="s">
        <v>51</v>
      </c>
      <c r="C58" s="6" t="s">
        <v>52</v>
      </c>
      <c r="D58" s="6" t="s">
        <v>53</v>
      </c>
      <c r="E58" s="6" t="s">
        <v>54</v>
      </c>
      <c r="I58" s="6" t="s">
        <v>42</v>
      </c>
      <c r="J58" s="6" t="s">
        <v>43</v>
      </c>
      <c r="K58" s="6" t="s">
        <v>44</v>
      </c>
    </row>
    <row r="59" customFormat="false" ht="19" hidden="false" customHeight="false" outlineLevel="0" collapsed="false">
      <c r="A59" s="3" t="s">
        <v>51</v>
      </c>
      <c r="B59" s="7" t="n">
        <v>1</v>
      </c>
      <c r="C59" s="8" t="n">
        <v>0.333333333333333</v>
      </c>
      <c r="D59" s="8" t="n">
        <v>0.5</v>
      </c>
      <c r="E59" s="8" t="n">
        <v>3</v>
      </c>
      <c r="I59" s="9" t="n">
        <f aca="false">PRODUCT(B59:E59)^(1/4)</f>
        <v>0.840896415253715</v>
      </c>
      <c r="J59" s="9" t="n">
        <f aca="false">I59/SUM($I$59:$I$62)</f>
        <v>0.169714814873114</v>
      </c>
      <c r="K59" s="7" t="n">
        <f aca="false">(B59*$J$59+C59*$J$60+D59*$J$61+E59*$J$62)/J59</f>
        <v>4.050476662347</v>
      </c>
    </row>
    <row r="60" customFormat="false" ht="19" hidden="false" customHeight="false" outlineLevel="0" collapsed="false">
      <c r="A60" s="3" t="s">
        <v>52</v>
      </c>
      <c r="B60" s="7" t="n">
        <f aca="false">1/C59</f>
        <v>3</v>
      </c>
      <c r="C60" s="7" t="n">
        <v>1</v>
      </c>
      <c r="D60" s="8" t="n">
        <v>2</v>
      </c>
      <c r="E60" s="8" t="n">
        <v>5</v>
      </c>
      <c r="I60" s="9" t="n">
        <f aca="false">PRODUCT(B60:E60)^(1/4)</f>
        <v>2.34034731932072</v>
      </c>
      <c r="J60" s="9" t="n">
        <f aca="false">I60/SUM($I$59:$I$62)</f>
        <v>0.472343091054163</v>
      </c>
      <c r="K60" s="7" t="n">
        <f aca="false">(B60*$J$59+C60*$J$60+D60*$J$61+E60*$J$62)/J60</f>
        <v>4.05409238676478</v>
      </c>
    </row>
    <row r="61" customFormat="false" ht="19" hidden="false" customHeight="false" outlineLevel="0" collapsed="false">
      <c r="A61" s="3" t="s">
        <v>53</v>
      </c>
      <c r="B61" s="7" t="n">
        <f aca="false">1/D59</f>
        <v>2</v>
      </c>
      <c r="C61" s="7" t="n">
        <f aca="false">1/D60</f>
        <v>0.5</v>
      </c>
      <c r="D61" s="7" t="n">
        <v>1</v>
      </c>
      <c r="E61" s="8" t="n">
        <v>4</v>
      </c>
      <c r="I61" s="9" t="n">
        <f aca="false">PRODUCT(B61:E61)^(1/4)</f>
        <v>1.4142135623731</v>
      </c>
      <c r="J61" s="9" t="n">
        <f aca="false">I61/SUM($I$59:$I$62)</f>
        <v>0.285425158884499</v>
      </c>
      <c r="K61" s="7" t="n">
        <f aca="false">(B61*$J$59+C61*$J$60+D61*$J$61+E61*$J$62)/J61</f>
        <v>4.03291034122367</v>
      </c>
    </row>
    <row r="62" customFormat="false" ht="19" hidden="false" customHeight="false" outlineLevel="0" collapsed="false">
      <c r="A62" s="3" t="s">
        <v>54</v>
      </c>
      <c r="B62" s="7" t="n">
        <f aca="false">1/E59</f>
        <v>0.333333333333333</v>
      </c>
      <c r="C62" s="7" t="n">
        <f aca="false">1/E60</f>
        <v>0.2</v>
      </c>
      <c r="D62" s="7" t="n">
        <f aca="false">1/E61</f>
        <v>0.25</v>
      </c>
      <c r="E62" s="7" t="n">
        <v>1</v>
      </c>
      <c r="I62" s="9" t="n">
        <f aca="false">PRODUCT(B62:E62)^(1/4)</f>
        <v>0.359304111963084</v>
      </c>
      <c r="J62" s="9" t="n">
        <f aca="false">I62/SUM($I$59:$I$62)</f>
        <v>0.072516935188224</v>
      </c>
      <c r="K62" s="7" t="n">
        <f aca="false">(B62*$J$59+C62*$J$60+D62*$J$61+E62*$J$62)/J62</f>
        <v>4.06682173360488</v>
      </c>
    </row>
    <row r="64" customFormat="false" ht="19" hidden="false" customHeight="false" outlineLevel="0" collapsed="false">
      <c r="H64" s="3" t="s">
        <v>45</v>
      </c>
      <c r="I64" s="7" t="n">
        <f aca="false">AVERAGE(K59:K62)</f>
        <v>4.05107528098508</v>
      </c>
    </row>
    <row r="65" customFormat="false" ht="19" hidden="false" customHeight="false" outlineLevel="0" collapsed="false">
      <c r="H65" s="3" t="s">
        <v>46</v>
      </c>
      <c r="I65" s="7" t="n">
        <f aca="false">MAX(0,(I64-4)/(4-1))</f>
        <v>0.0170250936616938</v>
      </c>
    </row>
    <row r="66" customFormat="false" ht="19" hidden="false" customHeight="false" outlineLevel="0" collapsed="false">
      <c r="H66" s="3" t="s">
        <v>47</v>
      </c>
      <c r="I66" s="7" t="n">
        <v>0.9</v>
      </c>
    </row>
    <row r="67" customFormat="false" ht="19" hidden="false" customHeight="false" outlineLevel="0" collapsed="false">
      <c r="H67" s="3" t="s">
        <v>48</v>
      </c>
      <c r="I67" s="7" t="n">
        <f aca="false">I65/I66</f>
        <v>0.0189167707352153</v>
      </c>
      <c r="J67" s="3" t="s">
        <v>49</v>
      </c>
      <c r="K67" s="6" t="str">
        <f aca="false">IF(I67&lt;=0.1,"OK","ПРОВЕРИТЬ")</f>
        <v>OK</v>
      </c>
    </row>
    <row r="72" customFormat="false" ht="19" hidden="false" customHeight="false" outlineLevel="0" collapsed="false">
      <c r="A72" s="2" t="s">
        <v>57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customFormat="false" ht="27" hidden="false" customHeight="true" outlineLevel="0" collapsed="false">
      <c r="A73" s="6" t="s">
        <v>34</v>
      </c>
      <c r="B73" s="6" t="s">
        <v>51</v>
      </c>
      <c r="C73" s="6" t="s">
        <v>52</v>
      </c>
      <c r="D73" s="6" t="s">
        <v>53</v>
      </c>
      <c r="E73" s="6" t="s">
        <v>54</v>
      </c>
      <c r="I73" s="6" t="s">
        <v>42</v>
      </c>
      <c r="J73" s="6" t="s">
        <v>43</v>
      </c>
      <c r="K73" s="6" t="s">
        <v>44</v>
      </c>
    </row>
    <row r="74" customFormat="false" ht="19" hidden="false" customHeight="false" outlineLevel="0" collapsed="false">
      <c r="A74" s="3" t="s">
        <v>51</v>
      </c>
      <c r="B74" s="7" t="n">
        <v>1</v>
      </c>
      <c r="C74" s="8" t="n">
        <v>3</v>
      </c>
      <c r="D74" s="8" t="n">
        <v>2</v>
      </c>
      <c r="E74" s="8" t="n">
        <v>4</v>
      </c>
      <c r="I74" s="9" t="n">
        <f aca="false">PRODUCT(B74:E74)^(1/4)</f>
        <v>2.21336383940064</v>
      </c>
      <c r="J74" s="9" t="n">
        <f aca="false">I74/SUM($I$74:$I$77)</f>
        <v>0.466848563720221</v>
      </c>
      <c r="K74" s="7" t="n">
        <f aca="false">(B74*$J$74+C74*$J$75+D74*$J$76+E74*$J$77)/J74</f>
        <v>4.03558726788401</v>
      </c>
    </row>
    <row r="75" customFormat="false" ht="19" hidden="false" customHeight="false" outlineLevel="0" collapsed="false">
      <c r="A75" s="3" t="s">
        <v>52</v>
      </c>
      <c r="B75" s="7" t="n">
        <f aca="false">1/C74</f>
        <v>0.333333333333333</v>
      </c>
      <c r="C75" s="7" t="n">
        <v>1</v>
      </c>
      <c r="D75" s="8" t="n">
        <v>0.5</v>
      </c>
      <c r="E75" s="8" t="n">
        <v>2</v>
      </c>
      <c r="I75" s="9" t="n">
        <f aca="false">PRODUCT(B75:E75)^(1/4)</f>
        <v>0.759835685651593</v>
      </c>
      <c r="J75" s="9" t="n">
        <f aca="false">I75/SUM($I$74:$I$77)</f>
        <v>0.16026655545519</v>
      </c>
      <c r="K75" s="7" t="n">
        <f aca="false">(B75*$J$74+C75*$J$75+D75*$J$76+E75*$J$77)/J75</f>
        <v>4.02621606220181</v>
      </c>
    </row>
    <row r="76" customFormat="false" ht="19" hidden="false" customHeight="false" outlineLevel="0" collapsed="false">
      <c r="A76" s="3" t="s">
        <v>53</v>
      </c>
      <c r="B76" s="7" t="n">
        <f aca="false">1/D74</f>
        <v>0.5</v>
      </c>
      <c r="C76" s="7" t="n">
        <f aca="false">1/D75</f>
        <v>2</v>
      </c>
      <c r="D76" s="7" t="n">
        <v>1</v>
      </c>
      <c r="E76" s="8" t="n">
        <v>3</v>
      </c>
      <c r="I76" s="9" t="n">
        <f aca="false">PRODUCT(B76:E76)^(1/4)</f>
        <v>1.31607401295249</v>
      </c>
      <c r="J76" s="9" t="n">
        <f aca="false">I76/SUM($I$74:$I$77)</f>
        <v>0.277589816802444</v>
      </c>
      <c r="K76" s="7" t="n">
        <f aca="false">(B76*$J$74+C76*$J$75+D76*$J$76+E76*$J$77)/J76</f>
        <v>4.02548052558652</v>
      </c>
    </row>
    <row r="77" customFormat="false" ht="19" hidden="false" customHeight="false" outlineLevel="0" collapsed="false">
      <c r="A77" s="3" t="s">
        <v>54</v>
      </c>
      <c r="B77" s="7" t="n">
        <f aca="false">1/E74</f>
        <v>0.25</v>
      </c>
      <c r="C77" s="7" t="n">
        <f aca="false">1/E75</f>
        <v>0.5</v>
      </c>
      <c r="D77" s="7" t="n">
        <f aca="false">1/E76</f>
        <v>0.333333333333333</v>
      </c>
      <c r="E77" s="7" t="n">
        <v>1</v>
      </c>
      <c r="I77" s="9" t="n">
        <f aca="false">PRODUCT(B77:E77)^(1/4)</f>
        <v>0.451801001804922</v>
      </c>
      <c r="J77" s="9" t="n">
        <f aca="false">I77/SUM($I$74:$I$77)</f>
        <v>0.095295064022145</v>
      </c>
      <c r="K77" s="7" t="n">
        <f aca="false">(B77*$J$74+C77*$J$75+D77*$J$76+E77*$J$77)/J77</f>
        <v>4.03662483005995</v>
      </c>
    </row>
    <row r="79" customFormat="false" ht="19" hidden="false" customHeight="false" outlineLevel="0" collapsed="false">
      <c r="H79" s="3" t="s">
        <v>45</v>
      </c>
      <c r="I79" s="7" t="n">
        <f aca="false">AVERAGE(K74:K77)</f>
        <v>4.03097717143307</v>
      </c>
    </row>
    <row r="80" customFormat="false" ht="19" hidden="false" customHeight="false" outlineLevel="0" collapsed="false">
      <c r="H80" s="3" t="s">
        <v>46</v>
      </c>
      <c r="I80" s="7" t="n">
        <f aca="false">MAX(0,(I79-4)/(4-1))</f>
        <v>0.0103257238110238</v>
      </c>
    </row>
    <row r="81" customFormat="false" ht="19" hidden="false" customHeight="false" outlineLevel="0" collapsed="false">
      <c r="H81" s="3" t="s">
        <v>47</v>
      </c>
      <c r="I81" s="7" t="n">
        <v>0.9</v>
      </c>
    </row>
    <row r="82" customFormat="false" ht="19" hidden="false" customHeight="false" outlineLevel="0" collapsed="false">
      <c r="H82" s="3" t="s">
        <v>48</v>
      </c>
      <c r="I82" s="7" t="n">
        <f aca="false">I80/I81</f>
        <v>0.0114730264566931</v>
      </c>
      <c r="J82" s="3" t="s">
        <v>49</v>
      </c>
      <c r="K82" s="6" t="str">
        <f aca="false">IF(I82&lt;=0.1,"OK","ПРОВЕРИТЬ")</f>
        <v>OK</v>
      </c>
    </row>
    <row r="87" customFormat="false" ht="19" hidden="false" customHeight="false" outlineLevel="0" collapsed="false">
      <c r="A87" s="2" t="s">
        <v>58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customFormat="false" ht="27" hidden="false" customHeight="true" outlineLevel="0" collapsed="false">
      <c r="A88" s="6" t="s">
        <v>34</v>
      </c>
      <c r="B88" s="6" t="s">
        <v>51</v>
      </c>
      <c r="C88" s="6" t="s">
        <v>52</v>
      </c>
      <c r="D88" s="6" t="s">
        <v>53</v>
      </c>
      <c r="E88" s="6" t="s">
        <v>54</v>
      </c>
      <c r="I88" s="6" t="s">
        <v>42</v>
      </c>
      <c r="J88" s="6" t="s">
        <v>43</v>
      </c>
      <c r="K88" s="6" t="s">
        <v>44</v>
      </c>
    </row>
    <row r="89" customFormat="false" ht="19" hidden="false" customHeight="false" outlineLevel="0" collapsed="false">
      <c r="A89" s="3" t="s">
        <v>51</v>
      </c>
      <c r="B89" s="7" t="n">
        <v>1</v>
      </c>
      <c r="C89" s="8" t="n">
        <v>3</v>
      </c>
      <c r="D89" s="8" t="n">
        <v>3</v>
      </c>
      <c r="E89" s="8" t="n">
        <v>0.5</v>
      </c>
      <c r="I89" s="9" t="n">
        <f aca="false">PRODUCT(B89:E89)^(1/4)</f>
        <v>1.45647531512197</v>
      </c>
      <c r="J89" s="9" t="n">
        <f aca="false">I89/SUM($I$89:$I$92)</f>
        <v>0.296667142678306</v>
      </c>
      <c r="K89" s="7" t="n">
        <f aca="false">(B89*$J$89+C89*$J$90+D89*$J$91+E89*$J$92)/J89</f>
        <v>4.02986042032837</v>
      </c>
    </row>
    <row r="90" customFormat="false" ht="19" hidden="false" customHeight="false" outlineLevel="0" collapsed="false">
      <c r="A90" s="3" t="s">
        <v>52</v>
      </c>
      <c r="B90" s="7" t="n">
        <f aca="false">1/C89</f>
        <v>0.333333333333333</v>
      </c>
      <c r="C90" s="7" t="n">
        <v>1</v>
      </c>
      <c r="D90" s="8" t="n">
        <v>1</v>
      </c>
      <c r="E90" s="8" t="n">
        <v>0.25</v>
      </c>
      <c r="I90" s="9" t="n">
        <f aca="false">PRODUCT(B90:E90)^(1/4)</f>
        <v>0.537284965911771</v>
      </c>
      <c r="J90" s="9" t="n">
        <f aca="false">I90/SUM($I$89:$I$92)</f>
        <v>0.109438720990412</v>
      </c>
      <c r="K90" s="7" t="n">
        <f aca="false">(B90*$J$89+C90*$J$90+D90*$J$91+E90*$J$92)/J90</f>
        <v>4.01028392331017</v>
      </c>
    </row>
    <row r="91" customFormat="false" ht="19" hidden="false" customHeight="false" outlineLevel="0" collapsed="false">
      <c r="A91" s="3" t="s">
        <v>53</v>
      </c>
      <c r="B91" s="7" t="n">
        <f aca="false">1/D89</f>
        <v>0.333333333333333</v>
      </c>
      <c r="C91" s="7" t="n">
        <f aca="false">1/D90</f>
        <v>1</v>
      </c>
      <c r="D91" s="7" t="n">
        <v>1</v>
      </c>
      <c r="E91" s="8" t="n">
        <v>0.25</v>
      </c>
      <c r="I91" s="9" t="n">
        <f aca="false">PRODUCT(B91:E91)^(1/4)</f>
        <v>0.537284965911771</v>
      </c>
      <c r="J91" s="9" t="n">
        <f aca="false">I91/SUM($I$89:$I$92)</f>
        <v>0.109438720990412</v>
      </c>
      <c r="K91" s="7" t="n">
        <f aca="false">(B91*$J$89+C91*$J$90+D91*$J$91+E91*$J$92)/J91</f>
        <v>4.01028392331017</v>
      </c>
    </row>
    <row r="92" customFormat="false" ht="19" hidden="false" customHeight="false" outlineLevel="0" collapsed="false">
      <c r="A92" s="3" t="s">
        <v>54</v>
      </c>
      <c r="B92" s="7" t="n">
        <f aca="false">1/E89</f>
        <v>2</v>
      </c>
      <c r="C92" s="7" t="n">
        <f aca="false">1/E90</f>
        <v>4</v>
      </c>
      <c r="D92" s="7" t="n">
        <f aca="false">1/E91</f>
        <v>4</v>
      </c>
      <c r="E92" s="7" t="n">
        <v>1</v>
      </c>
      <c r="I92" s="9" t="n">
        <f aca="false">PRODUCT(B92:E92)^(1/4)</f>
        <v>2.37841423000544</v>
      </c>
      <c r="J92" s="9" t="n">
        <f aca="false">I92/SUM($I$89:$I$92)</f>
        <v>0.484455415340869</v>
      </c>
      <c r="K92" s="7" t="n">
        <f aca="false">(B92*$J$89+C92*$J$90+D92*$J$91+E92*$J$92)/J92</f>
        <v>4.03194887861128</v>
      </c>
    </row>
    <row r="94" customFormat="false" ht="19" hidden="false" customHeight="false" outlineLevel="0" collapsed="false">
      <c r="H94" s="3" t="s">
        <v>45</v>
      </c>
      <c r="I94" s="7" t="n">
        <f aca="false">AVERAGE(K89:K92)</f>
        <v>4.02059428639</v>
      </c>
    </row>
    <row r="95" customFormat="false" ht="19" hidden="false" customHeight="false" outlineLevel="0" collapsed="false">
      <c r="H95" s="3" t="s">
        <v>46</v>
      </c>
      <c r="I95" s="7" t="n">
        <f aca="false">MAX(0,(I94-4)/(4-1))</f>
        <v>0.00686476212999843</v>
      </c>
    </row>
    <row r="96" customFormat="false" ht="19" hidden="false" customHeight="false" outlineLevel="0" collapsed="false">
      <c r="H96" s="3" t="s">
        <v>47</v>
      </c>
      <c r="I96" s="7" t="n">
        <v>0.9</v>
      </c>
    </row>
    <row r="97" customFormat="false" ht="19" hidden="false" customHeight="false" outlineLevel="0" collapsed="false">
      <c r="H97" s="3" t="s">
        <v>48</v>
      </c>
      <c r="I97" s="7" t="n">
        <f aca="false">I95/I96</f>
        <v>0.00762751347777603</v>
      </c>
      <c r="J97" s="3" t="s">
        <v>49</v>
      </c>
      <c r="K97" s="6" t="str">
        <f aca="false">IF(I97&lt;=0.1,"OK","ПРОВЕРИТЬ")</f>
        <v>OK</v>
      </c>
    </row>
    <row r="102" customFormat="false" ht="19" hidden="false" customHeight="false" outlineLevel="0" collapsed="false">
      <c r="A102" s="2" t="s">
        <v>59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customFormat="false" ht="27" hidden="false" customHeight="true" outlineLevel="0" collapsed="false">
      <c r="A103" s="6" t="s">
        <v>34</v>
      </c>
      <c r="B103" s="6" t="s">
        <v>51</v>
      </c>
      <c r="C103" s="6" t="s">
        <v>52</v>
      </c>
      <c r="D103" s="6" t="s">
        <v>53</v>
      </c>
      <c r="E103" s="6" t="s">
        <v>54</v>
      </c>
      <c r="I103" s="6" t="s">
        <v>42</v>
      </c>
      <c r="J103" s="6" t="s">
        <v>43</v>
      </c>
      <c r="K103" s="6" t="s">
        <v>44</v>
      </c>
    </row>
    <row r="104" customFormat="false" ht="19" hidden="false" customHeight="false" outlineLevel="0" collapsed="false">
      <c r="A104" s="3" t="s">
        <v>51</v>
      </c>
      <c r="B104" s="7" t="n">
        <v>1</v>
      </c>
      <c r="C104" s="8" t="n">
        <v>5</v>
      </c>
      <c r="D104" s="8" t="n">
        <v>4</v>
      </c>
      <c r="E104" s="8" t="n">
        <v>0.5</v>
      </c>
      <c r="I104" s="9" t="n">
        <f aca="false">PRODUCT(B104:E104)^(1/4)</f>
        <v>1.77827941003892</v>
      </c>
      <c r="J104" s="9" t="n">
        <f aca="false">I104/SUM($I$104:$I$107)</f>
        <v>0.324321109524692</v>
      </c>
      <c r="K104" s="7" t="n">
        <f aca="false">(B104*$J$104+C104*$J$105+D104*$J$106+E104*$J$107)/J104</f>
        <v>4.05771110644231</v>
      </c>
    </row>
    <row r="105" customFormat="false" ht="19" hidden="false" customHeight="false" outlineLevel="0" collapsed="false">
      <c r="A105" s="3" t="s">
        <v>52</v>
      </c>
      <c r="B105" s="7" t="n">
        <f aca="false">1/C104</f>
        <v>0.2</v>
      </c>
      <c r="C105" s="7" t="n">
        <v>1</v>
      </c>
      <c r="D105" s="8" t="n">
        <v>0.5</v>
      </c>
      <c r="E105" s="8" t="n">
        <v>0.166666666666667</v>
      </c>
      <c r="I105" s="9" t="n">
        <f aca="false">PRODUCT(B105:E105)^(1/4)</f>
        <v>0.359304111963084</v>
      </c>
      <c r="J105" s="9" t="n">
        <f aca="false">I105/SUM($I$104:$I$107)</f>
        <v>0.0655295830288566</v>
      </c>
      <c r="K105" s="7" t="n">
        <f aca="false">(B105*$J$104+C105*$J$105+D105*$J$106+E105*$J$107)/J105</f>
        <v>4.0633831395404</v>
      </c>
    </row>
    <row r="106" customFormat="false" ht="19" hidden="false" customHeight="false" outlineLevel="0" collapsed="false">
      <c r="A106" s="3" t="s">
        <v>53</v>
      </c>
      <c r="B106" s="7" t="n">
        <f aca="false">1/D104</f>
        <v>0.25</v>
      </c>
      <c r="C106" s="7" t="n">
        <f aca="false">1/D105</f>
        <v>2</v>
      </c>
      <c r="D106" s="7" t="n">
        <v>1</v>
      </c>
      <c r="E106" s="8" t="n">
        <v>0.2</v>
      </c>
      <c r="I106" s="9" t="n">
        <f aca="false">PRODUCT(B106:E106)^(1/4)</f>
        <v>0.562341325190349</v>
      </c>
      <c r="J106" s="9" t="n">
        <f aca="false">I106/SUM($I$104:$I$107)</f>
        <v>0.102559339937096</v>
      </c>
      <c r="K106" s="7" t="n">
        <f aca="false">(B106*$J$104+C106*$J$105+D106*$J$106+E106*$J$107)/J106</f>
        <v>4.05830202430259</v>
      </c>
    </row>
    <row r="107" customFormat="false" ht="19" hidden="false" customHeight="false" outlineLevel="0" collapsed="false">
      <c r="A107" s="3" t="s">
        <v>54</v>
      </c>
      <c r="B107" s="7" t="n">
        <f aca="false">1/E104</f>
        <v>2</v>
      </c>
      <c r="C107" s="7" t="n">
        <f aca="false">1/E105</f>
        <v>6</v>
      </c>
      <c r="D107" s="7" t="n">
        <f aca="false">1/E106</f>
        <v>5</v>
      </c>
      <c r="E107" s="7" t="n">
        <v>1</v>
      </c>
      <c r="I107" s="9" t="n">
        <f aca="false">PRODUCT(B107:E107)^(1/4)</f>
        <v>2.78315768371374</v>
      </c>
      <c r="J107" s="9" t="n">
        <f aca="false">I107/SUM($I$104:$I$107)</f>
        <v>0.507589967509356</v>
      </c>
      <c r="K107" s="7" t="n">
        <f aca="false">(B107*$J$104+C107*$J$105+D107*$J$106+E107*$J$107)/J107</f>
        <v>4.06274063007234</v>
      </c>
    </row>
    <row r="109" customFormat="false" ht="19" hidden="false" customHeight="false" outlineLevel="0" collapsed="false">
      <c r="H109" s="3" t="s">
        <v>45</v>
      </c>
      <c r="I109" s="7" t="n">
        <f aca="false">AVERAGE(K104:K107)</f>
        <v>4.06053422508941</v>
      </c>
    </row>
    <row r="110" customFormat="false" ht="19" hidden="false" customHeight="false" outlineLevel="0" collapsed="false">
      <c r="H110" s="3" t="s">
        <v>46</v>
      </c>
      <c r="I110" s="7" t="n">
        <f aca="false">MAX(0,(I109-4)/(4-1))</f>
        <v>0.0201780750298036</v>
      </c>
    </row>
    <row r="111" customFormat="false" ht="19" hidden="false" customHeight="false" outlineLevel="0" collapsed="false">
      <c r="H111" s="3" t="s">
        <v>47</v>
      </c>
      <c r="I111" s="7" t="n">
        <v>0.9</v>
      </c>
    </row>
    <row r="112" customFormat="false" ht="19" hidden="false" customHeight="false" outlineLevel="0" collapsed="false">
      <c r="H112" s="3" t="s">
        <v>48</v>
      </c>
      <c r="I112" s="7" t="n">
        <f aca="false">I110/I111</f>
        <v>0.0224200833664484</v>
      </c>
      <c r="J112" s="3" t="s">
        <v>49</v>
      </c>
      <c r="K112" s="6" t="str">
        <f aca="false">IF(I112&lt;=0.1,"OK","ПРОВЕРИТЬ")</f>
        <v>OK</v>
      </c>
    </row>
    <row r="117" customFormat="false" ht="19" hidden="false" customHeight="false" outlineLevel="0" collapsed="false">
      <c r="A117" s="2" t="s">
        <v>60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customFormat="false" ht="27" hidden="false" customHeight="true" outlineLevel="0" collapsed="false">
      <c r="A118" s="6" t="s">
        <v>34</v>
      </c>
      <c r="B118" s="6" t="s">
        <v>51</v>
      </c>
      <c r="C118" s="6" t="s">
        <v>52</v>
      </c>
      <c r="D118" s="6" t="s">
        <v>53</v>
      </c>
      <c r="E118" s="6" t="s">
        <v>54</v>
      </c>
      <c r="I118" s="6" t="s">
        <v>42</v>
      </c>
      <c r="J118" s="6" t="s">
        <v>43</v>
      </c>
      <c r="K118" s="6" t="s">
        <v>44</v>
      </c>
    </row>
    <row r="119" customFormat="false" ht="19" hidden="false" customHeight="false" outlineLevel="0" collapsed="false">
      <c r="A119" s="3" t="s">
        <v>51</v>
      </c>
      <c r="B119" s="7" t="n">
        <v>1</v>
      </c>
      <c r="C119" s="8" t="n">
        <v>4</v>
      </c>
      <c r="D119" s="8" t="n">
        <v>4</v>
      </c>
      <c r="E119" s="8" t="n">
        <v>0.5</v>
      </c>
      <c r="I119" s="9" t="n">
        <f aca="false">PRODUCT(B119:E119)^(1/4)</f>
        <v>1.68179283050743</v>
      </c>
      <c r="J119" s="9" t="n">
        <f aca="false">I119/SUM($I$119:$I$122)</f>
        <v>0.318118757111309</v>
      </c>
      <c r="K119" s="7" t="n">
        <f aca="false">(B119*$J$119+C119*$J$120+D119*$J$121+E119*$J$122)/J119</f>
        <v>4.03993471580349</v>
      </c>
    </row>
    <row r="120" customFormat="false" ht="19" hidden="false" customHeight="false" outlineLevel="0" collapsed="false">
      <c r="A120" s="3" t="s">
        <v>52</v>
      </c>
      <c r="B120" s="7" t="n">
        <f aca="false">1/C119</f>
        <v>0.25</v>
      </c>
      <c r="C120" s="7" t="n">
        <v>1</v>
      </c>
      <c r="D120" s="8" t="n">
        <v>1</v>
      </c>
      <c r="E120" s="8" t="n">
        <v>0.2</v>
      </c>
      <c r="I120" s="9" t="n">
        <f aca="false">PRODUCT(B120:E120)^(1/4)</f>
        <v>0.472870804501588</v>
      </c>
      <c r="J120" s="9" t="n">
        <f aca="false">I120/SUM($I$119:$I$122)</f>
        <v>0.0894456617209401</v>
      </c>
      <c r="K120" s="7" t="n">
        <f aca="false">(B120*$J$119+C120*$J$120+D120*$J$121+E120*$J$122)/J120</f>
        <v>4.01382235540016</v>
      </c>
    </row>
    <row r="121" customFormat="false" ht="19" hidden="false" customHeight="false" outlineLevel="0" collapsed="false">
      <c r="A121" s="3" t="s">
        <v>53</v>
      </c>
      <c r="B121" s="7" t="n">
        <f aca="false">1/D119</f>
        <v>0.25</v>
      </c>
      <c r="C121" s="7" t="n">
        <f aca="false">1/D120</f>
        <v>1</v>
      </c>
      <c r="D121" s="7" t="n">
        <v>1</v>
      </c>
      <c r="E121" s="8" t="n">
        <v>0.2</v>
      </c>
      <c r="I121" s="9" t="n">
        <f aca="false">PRODUCT(B121:E121)^(1/4)</f>
        <v>0.472870804501588</v>
      </c>
      <c r="J121" s="9" t="n">
        <f aca="false">I121/SUM($I$119:$I$122)</f>
        <v>0.0894456617209401</v>
      </c>
      <c r="K121" s="7" t="n">
        <f aca="false">(B121*$J$119+C121*$J$120+D121*$J$121+E121*$J$122)/J121</f>
        <v>4.01382235540016</v>
      </c>
    </row>
    <row r="122" customFormat="false" ht="19" hidden="false" customHeight="false" outlineLevel="0" collapsed="false">
      <c r="A122" s="3" t="s">
        <v>54</v>
      </c>
      <c r="B122" s="7" t="n">
        <f aca="false">1/E119</f>
        <v>2</v>
      </c>
      <c r="C122" s="7" t="n">
        <f aca="false">1/E120</f>
        <v>5</v>
      </c>
      <c r="D122" s="7" t="n">
        <f aca="false">1/E121</f>
        <v>5</v>
      </c>
      <c r="E122" s="7" t="n">
        <v>1</v>
      </c>
      <c r="I122" s="9" t="n">
        <f aca="false">PRODUCT(B122:E122)^(1/4)</f>
        <v>2.65914794847249</v>
      </c>
      <c r="J122" s="9" t="n">
        <f aca="false">I122/SUM($I$119:$I$122)</f>
        <v>0.502989919446811</v>
      </c>
      <c r="K122" s="7" t="n">
        <f aca="false">(B122*$J$119+C122*$J$120+D122*$J$121+E122*$J$122)/J122</f>
        <v>4.04319047410628</v>
      </c>
    </row>
    <row r="124" customFormat="false" ht="19" hidden="false" customHeight="false" outlineLevel="0" collapsed="false">
      <c r="H124" s="3" t="s">
        <v>45</v>
      </c>
      <c r="I124" s="7" t="n">
        <f aca="false">AVERAGE(K119:K122)</f>
        <v>4.02769247517752</v>
      </c>
    </row>
    <row r="125" customFormat="false" ht="19" hidden="false" customHeight="false" outlineLevel="0" collapsed="false">
      <c r="H125" s="3" t="s">
        <v>46</v>
      </c>
      <c r="I125" s="7" t="n">
        <f aca="false">MAX(0,(I124-4)/(4-1))</f>
        <v>0.00923082505917379</v>
      </c>
    </row>
    <row r="126" customFormat="false" ht="19" hidden="false" customHeight="false" outlineLevel="0" collapsed="false">
      <c r="H126" s="3" t="s">
        <v>47</v>
      </c>
      <c r="I126" s="7" t="n">
        <v>0.9</v>
      </c>
    </row>
    <row r="127" customFormat="false" ht="19" hidden="false" customHeight="false" outlineLevel="0" collapsed="false">
      <c r="H127" s="3" t="s">
        <v>48</v>
      </c>
      <c r="I127" s="7" t="n">
        <f aca="false">I125/I126</f>
        <v>0.0102564722879709</v>
      </c>
      <c r="J127" s="3" t="s">
        <v>49</v>
      </c>
      <c r="K127" s="6" t="str">
        <f aca="false">IF(I127&lt;=0.1,"OK","ПРОВЕРИТЬ")</f>
        <v>OK</v>
      </c>
    </row>
  </sheetData>
  <mergeCells count="10">
    <mergeCell ref="A1:L1"/>
    <mergeCell ref="A2:L2"/>
    <mergeCell ref="A6:L6"/>
    <mergeCell ref="A27:L27"/>
    <mergeCell ref="A42:L42"/>
    <mergeCell ref="A57:L57"/>
    <mergeCell ref="A72:L72"/>
    <mergeCell ref="A87:L87"/>
    <mergeCell ref="A102:L102"/>
    <mergeCell ref="A117:L117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2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9" zeroHeight="false" outlineLevelRow="0" outlineLevelCol="0"/>
  <cols>
    <col collapsed="false" customWidth="true" hidden="false" outlineLevel="0" max="1" min="1" style="0" width="37"/>
    <col collapsed="false" customWidth="true" hidden="false" outlineLevel="0" max="8" min="2" style="0" width="16"/>
    <col collapsed="false" customWidth="true" hidden="false" outlineLevel="0" max="12" min="9" style="0" width="19"/>
  </cols>
  <sheetData>
    <row r="1" customFormat="false" ht="27" hidden="false" customHeight="true" outlineLevel="0" collapsed="false">
      <c r="A1" s="1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" hidden="false" customHeight="true" outlineLevel="0" collapsed="false">
      <c r="A2" s="5" t="s">
        <v>32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7" hidden="false" customHeight="true" outlineLevel="0" collapsed="false"/>
    <row r="6" customFormat="false" ht="19" hidden="false" customHeight="false" outlineLevel="0" collapsed="false">
      <c r="A6" s="2" t="s">
        <v>33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27" hidden="false" customHeight="true" outlineLevel="0" collapsed="false">
      <c r="A7" s="6" t="s">
        <v>34</v>
      </c>
      <c r="B7" s="6" t="s">
        <v>35</v>
      </c>
      <c r="C7" s="6" t="s">
        <v>36</v>
      </c>
      <c r="D7" s="6" t="s">
        <v>37</v>
      </c>
      <c r="E7" s="6" t="s">
        <v>38</v>
      </c>
      <c r="F7" s="6" t="s">
        <v>39</v>
      </c>
      <c r="G7" s="6" t="s">
        <v>40</v>
      </c>
      <c r="H7" s="6" t="s">
        <v>41</v>
      </c>
      <c r="I7" s="6" t="s">
        <v>42</v>
      </c>
      <c r="J7" s="6" t="s">
        <v>43</v>
      </c>
      <c r="K7" s="6" t="s">
        <v>44</v>
      </c>
    </row>
    <row r="8" customFormat="false" ht="19" hidden="false" customHeight="false" outlineLevel="0" collapsed="false">
      <c r="A8" s="3" t="s">
        <v>35</v>
      </c>
      <c r="B8" s="7" t="n">
        <v>1</v>
      </c>
      <c r="C8" s="8" t="n">
        <v>2</v>
      </c>
      <c r="D8" s="8" t="n">
        <v>3</v>
      </c>
      <c r="E8" s="8" t="n">
        <v>2</v>
      </c>
      <c r="F8" s="8" t="n">
        <v>0.5</v>
      </c>
      <c r="G8" s="8" t="n">
        <v>2</v>
      </c>
      <c r="H8" s="8" t="n">
        <v>2</v>
      </c>
      <c r="I8" s="9" t="n">
        <f aca="false">PRODUCT(B8:H8)^(1/7)</f>
        <v>1.57461010625845</v>
      </c>
      <c r="J8" s="9" t="n">
        <f aca="false">I8/SUM($I$8:$I$14)</f>
        <v>0.19714797473831</v>
      </c>
      <c r="K8" s="7" t="n">
        <f aca="false">(B8*$J$8+C8*$J$9+D8*$J$10+E8*$J$11+F8*$J$12+G8*$J$13+H8*$J$14)/J8</f>
        <v>7.04233935176472</v>
      </c>
    </row>
    <row r="9" customFormat="false" ht="19" hidden="false" customHeight="false" outlineLevel="0" collapsed="false">
      <c r="A9" s="3" t="s">
        <v>36</v>
      </c>
      <c r="B9" s="7" t="n">
        <f aca="false">1/C8</f>
        <v>0.5</v>
      </c>
      <c r="C9" s="7" t="n">
        <v>1</v>
      </c>
      <c r="D9" s="8" t="n">
        <v>2</v>
      </c>
      <c r="E9" s="8" t="n">
        <v>1</v>
      </c>
      <c r="F9" s="8" t="n">
        <v>0.333333333333333</v>
      </c>
      <c r="G9" s="8" t="n">
        <v>1</v>
      </c>
      <c r="H9" s="8" t="n">
        <v>1</v>
      </c>
      <c r="I9" s="9" t="n">
        <f aca="false">PRODUCT(B9:H9)^(1/7)</f>
        <v>0.854751399907152</v>
      </c>
      <c r="J9" s="9" t="n">
        <f aca="false">I9/SUM($I$8:$I$14)</f>
        <v>0.107018560802233</v>
      </c>
      <c r="K9" s="7" t="n">
        <f aca="false">(B9*$J$8+C9*$J$9+D9*$J$10+E9*$J$11+F9*$J$12+G9*$J$13+H9*$J$14)/J9</f>
        <v>7.00849657540773</v>
      </c>
    </row>
    <row r="10" customFormat="false" ht="19" hidden="false" customHeight="false" outlineLevel="0" collapsed="false">
      <c r="A10" s="3" t="s">
        <v>37</v>
      </c>
      <c r="B10" s="7" t="n">
        <f aca="false">1/D8</f>
        <v>0.333333333333333</v>
      </c>
      <c r="C10" s="7" t="n">
        <f aca="false">1/D9</f>
        <v>0.5</v>
      </c>
      <c r="D10" s="7" t="n">
        <v>1</v>
      </c>
      <c r="E10" s="8" t="n">
        <v>0.5</v>
      </c>
      <c r="F10" s="8" t="n">
        <v>0.25</v>
      </c>
      <c r="G10" s="8" t="n">
        <v>0.5</v>
      </c>
      <c r="H10" s="8" t="n">
        <v>0.5</v>
      </c>
      <c r="I10" s="9" t="n">
        <f aca="false">PRODUCT(B10:H10)^(1/7)</f>
        <v>0.471861028717749</v>
      </c>
      <c r="J10" s="9" t="n">
        <f aca="false">I10/SUM($I$8:$I$14)</f>
        <v>0.0590790353751043</v>
      </c>
      <c r="K10" s="7" t="n">
        <f aca="false">(B10*$J$8+C10*$J$9+D10*$J$10+E10*$J$11+F10*$J$12+G10*$J$13+H10*$J$14)/J10</f>
        <v>7.07115193360894</v>
      </c>
    </row>
    <row r="11" customFormat="false" ht="19" hidden="false" customHeight="false" outlineLevel="0" collapsed="false">
      <c r="A11" s="3" t="s">
        <v>38</v>
      </c>
      <c r="B11" s="7" t="n">
        <f aca="false">1/E8</f>
        <v>0.5</v>
      </c>
      <c r="C11" s="7" t="n">
        <f aca="false">1/E9</f>
        <v>1</v>
      </c>
      <c r="D11" s="7" t="n">
        <f aca="false">1/E10</f>
        <v>2</v>
      </c>
      <c r="E11" s="7" t="n">
        <v>1</v>
      </c>
      <c r="F11" s="8" t="n">
        <v>0.333333333333333</v>
      </c>
      <c r="G11" s="8" t="n">
        <v>1</v>
      </c>
      <c r="H11" s="8" t="n">
        <v>1</v>
      </c>
      <c r="I11" s="9" t="n">
        <f aca="false">PRODUCT(B11:H11)^(1/7)</f>
        <v>0.854751399907152</v>
      </c>
      <c r="J11" s="9" t="n">
        <f aca="false">I11/SUM($I$8:$I$14)</f>
        <v>0.107018560802233</v>
      </c>
      <c r="K11" s="7" t="n">
        <f aca="false">(B11*$J$8+C11*$J$9+D11*$J$10+E11*$J$11+F11*$J$12+G11*$J$13+H11*$J$14)/J11</f>
        <v>7.00849657540773</v>
      </c>
    </row>
    <row r="12" customFormat="false" ht="19" hidden="false" customHeight="false" outlineLevel="0" collapsed="false">
      <c r="A12" s="3" t="s">
        <v>39</v>
      </c>
      <c r="B12" s="7" t="n">
        <f aca="false">1/F8</f>
        <v>2</v>
      </c>
      <c r="C12" s="7" t="n">
        <f aca="false">1/F9</f>
        <v>3</v>
      </c>
      <c r="D12" s="7" t="n">
        <f aca="false">1/F10</f>
        <v>4</v>
      </c>
      <c r="E12" s="7" t="n">
        <f aca="false">1/F11</f>
        <v>3</v>
      </c>
      <c r="F12" s="7" t="n">
        <v>1</v>
      </c>
      <c r="G12" s="8" t="n">
        <v>3</v>
      </c>
      <c r="H12" s="8" t="n">
        <v>3</v>
      </c>
      <c r="I12" s="9" t="n">
        <f aca="false">PRODUCT(B12:H12)^(1/7)</f>
        <v>2.52146864664272</v>
      </c>
      <c r="J12" s="9" t="n">
        <f aca="false">I12/SUM($I$8:$I$14)</f>
        <v>0.315698746677654</v>
      </c>
      <c r="K12" s="7" t="n">
        <f aca="false">(B12*$J$8+C12*$J$9+D12*$J$10+E12*$J$11+F12*$J$12+G12*$J$13+H12*$J$14)/J12</f>
        <v>7.06538619730088</v>
      </c>
    </row>
    <row r="13" customFormat="false" ht="19" hidden="false" customHeight="false" outlineLevel="0" collapsed="false">
      <c r="A13" s="3" t="s">
        <v>40</v>
      </c>
      <c r="B13" s="7" t="n">
        <f aca="false">1/G8</f>
        <v>0.5</v>
      </c>
      <c r="C13" s="7" t="n">
        <f aca="false">1/G9</f>
        <v>1</v>
      </c>
      <c r="D13" s="7" t="n">
        <f aca="false">1/G10</f>
        <v>2</v>
      </c>
      <c r="E13" s="7" t="n">
        <f aca="false">1/G11</f>
        <v>1</v>
      </c>
      <c r="F13" s="7" t="n">
        <f aca="false">1/G12</f>
        <v>0.333333333333333</v>
      </c>
      <c r="G13" s="7" t="n">
        <v>1</v>
      </c>
      <c r="H13" s="8" t="n">
        <v>1</v>
      </c>
      <c r="I13" s="9" t="n">
        <f aca="false">PRODUCT(B13:H13)^(1/7)</f>
        <v>0.854751399907152</v>
      </c>
      <c r="J13" s="9" t="n">
        <f aca="false">I13/SUM($I$8:$I$14)</f>
        <v>0.107018560802233</v>
      </c>
      <c r="K13" s="7" t="n">
        <f aca="false">(B13*$J$8+C13*$J$9+D13*$J$10+E13*$J$11+F13*$J$12+G13*$J$13+H13*$J$14)/J13</f>
        <v>7.00849657540773</v>
      </c>
    </row>
    <row r="14" customFormat="false" ht="19" hidden="false" customHeight="false" outlineLevel="0" collapsed="false">
      <c r="A14" s="3" t="s">
        <v>41</v>
      </c>
      <c r="B14" s="7" t="n">
        <f aca="false">1/H8</f>
        <v>0.5</v>
      </c>
      <c r="C14" s="7" t="n">
        <f aca="false">1/H9</f>
        <v>1</v>
      </c>
      <c r="D14" s="7" t="n">
        <f aca="false">1/H10</f>
        <v>2</v>
      </c>
      <c r="E14" s="7" t="n">
        <f aca="false">1/H11</f>
        <v>1</v>
      </c>
      <c r="F14" s="7" t="n">
        <f aca="false">1/H12</f>
        <v>0.333333333333333</v>
      </c>
      <c r="G14" s="7" t="n">
        <f aca="false">1/H13</f>
        <v>1</v>
      </c>
      <c r="H14" s="7" t="n">
        <v>1</v>
      </c>
      <c r="I14" s="9" t="n">
        <f aca="false">PRODUCT(B14:H14)^(1/7)</f>
        <v>0.854751399907152</v>
      </c>
      <c r="J14" s="9" t="n">
        <f aca="false">I14/SUM($I$8:$I$14)</f>
        <v>0.107018560802233</v>
      </c>
      <c r="K14" s="7" t="n">
        <f aca="false">(B14*$J$8+C14*$J$9+D14*$J$10+E14*$J$11+F14*$J$12+G14*$J$13+H14*$J$14)/J14</f>
        <v>7.00849657540773</v>
      </c>
    </row>
    <row r="16" customFormat="false" ht="19" hidden="false" customHeight="false" outlineLevel="0" collapsed="false">
      <c r="H16" s="3" t="s">
        <v>45</v>
      </c>
      <c r="I16" s="7" t="n">
        <f aca="false">AVERAGE(K8:K14)</f>
        <v>7.03040911204364</v>
      </c>
    </row>
    <row r="17" customFormat="false" ht="19" hidden="false" customHeight="false" outlineLevel="0" collapsed="false">
      <c r="H17" s="3" t="s">
        <v>46</v>
      </c>
      <c r="I17" s="7" t="n">
        <f aca="false">MAX(0,(I16-7)/(7-1))</f>
        <v>0.0050681853406059</v>
      </c>
    </row>
    <row r="18" customFormat="false" ht="19" hidden="false" customHeight="false" outlineLevel="0" collapsed="false">
      <c r="H18" s="3" t="s">
        <v>47</v>
      </c>
      <c r="I18" s="7" t="n">
        <v>1.32</v>
      </c>
    </row>
    <row r="19" customFormat="false" ht="19" hidden="false" customHeight="false" outlineLevel="0" collapsed="false">
      <c r="H19" s="3" t="s">
        <v>48</v>
      </c>
      <c r="I19" s="7" t="n">
        <f aca="false">I17/I18</f>
        <v>0.00383953434894386</v>
      </c>
      <c r="J19" s="3" t="s">
        <v>49</v>
      </c>
      <c r="K19" s="6" t="str">
        <f aca="false">IF(I19&lt;=0.1,"OK","ПРОВЕРИТЬ")</f>
        <v>OK</v>
      </c>
    </row>
    <row r="27" customFormat="false" ht="19" hidden="false" customHeight="false" outlineLevel="0" collapsed="false">
      <c r="A27" s="2" t="s">
        <v>50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27" hidden="false" customHeight="true" outlineLevel="0" collapsed="false">
      <c r="A28" s="6" t="s">
        <v>34</v>
      </c>
      <c r="B28" s="6" t="s">
        <v>51</v>
      </c>
      <c r="C28" s="6" t="s">
        <v>52</v>
      </c>
      <c r="D28" s="6" t="s">
        <v>53</v>
      </c>
      <c r="E28" s="6" t="s">
        <v>54</v>
      </c>
      <c r="I28" s="6" t="s">
        <v>42</v>
      </c>
      <c r="J28" s="6" t="s">
        <v>43</v>
      </c>
      <c r="K28" s="6" t="s">
        <v>44</v>
      </c>
    </row>
    <row r="29" customFormat="false" ht="19" hidden="false" customHeight="false" outlineLevel="0" collapsed="false">
      <c r="A29" s="3" t="s">
        <v>51</v>
      </c>
      <c r="B29" s="7" t="n">
        <v>1</v>
      </c>
      <c r="C29" s="8" t="n">
        <v>0.5</v>
      </c>
      <c r="D29" s="8" t="n">
        <v>0.5</v>
      </c>
      <c r="E29" s="8" t="n">
        <v>2</v>
      </c>
      <c r="I29" s="9" t="n">
        <f aca="false">PRODUCT(B29:E29)^(1/4)</f>
        <v>0.840896415253715</v>
      </c>
      <c r="J29" s="9" t="n">
        <f aca="false">I29/SUM($I$29:$I$32)</f>
        <v>0.188687444087188</v>
      </c>
      <c r="K29" s="7" t="n">
        <f aca="false">(B29*$J$29+C29*$J$30+D29*$J$31+E29*$J$32)/J29</f>
        <v>4.01591025658345</v>
      </c>
    </row>
    <row r="30" customFormat="false" ht="19" hidden="false" customHeight="false" outlineLevel="0" collapsed="false">
      <c r="A30" s="3" t="s">
        <v>52</v>
      </c>
      <c r="B30" s="7" t="n">
        <f aca="false">1/C29</f>
        <v>2</v>
      </c>
      <c r="C30" s="7" t="n">
        <v>1</v>
      </c>
      <c r="D30" s="8" t="n">
        <v>1</v>
      </c>
      <c r="E30" s="8" t="n">
        <v>3</v>
      </c>
      <c r="I30" s="9" t="n">
        <f aca="false">PRODUCT(B30:E30)^(1/4)</f>
        <v>1.56508458007329</v>
      </c>
      <c r="J30" s="9" t="n">
        <f aca="false">I30/SUM($I$29:$I$32)</f>
        <v>0.351186904638186</v>
      </c>
      <c r="K30" s="7" t="n">
        <f aca="false">(B30*$J$29+C30*$J$30+D30*$J$31+E30*$J$32)/J30</f>
        <v>4.00517479092564</v>
      </c>
    </row>
    <row r="31" customFormat="false" ht="19" hidden="false" customHeight="false" outlineLevel="0" collapsed="false">
      <c r="A31" s="3" t="s">
        <v>53</v>
      </c>
      <c r="B31" s="7" t="n">
        <f aca="false">1/D29</f>
        <v>2</v>
      </c>
      <c r="C31" s="7" t="n">
        <f aca="false">1/D30</f>
        <v>1</v>
      </c>
      <c r="D31" s="7" t="n">
        <v>1</v>
      </c>
      <c r="E31" s="8" t="n">
        <v>3</v>
      </c>
      <c r="I31" s="9" t="n">
        <f aca="false">PRODUCT(B31:E31)^(1/4)</f>
        <v>1.56508458007329</v>
      </c>
      <c r="J31" s="9" t="n">
        <f aca="false">I31/SUM($I$29:$I$32)</f>
        <v>0.351186904638186</v>
      </c>
      <c r="K31" s="7" t="n">
        <f aca="false">(B31*$J$29+C31*$J$30+D31*$J$31+E31*$J$32)/J31</f>
        <v>4.00517479092564</v>
      </c>
    </row>
    <row r="32" customFormat="false" ht="19" hidden="false" customHeight="false" outlineLevel="0" collapsed="false">
      <c r="A32" s="3" t="s">
        <v>54</v>
      </c>
      <c r="B32" s="7" t="n">
        <f aca="false">1/E29</f>
        <v>0.5</v>
      </c>
      <c r="C32" s="7" t="n">
        <f aca="false">1/E30</f>
        <v>0.333333333333333</v>
      </c>
      <c r="D32" s="7" t="n">
        <f aca="false">1/E31</f>
        <v>0.333333333333333</v>
      </c>
      <c r="E32" s="7" t="n">
        <v>1</v>
      </c>
      <c r="I32" s="9" t="n">
        <f aca="false">PRODUCT(B32:E32)^(1/4)</f>
        <v>0.485491771707323</v>
      </c>
      <c r="J32" s="9" t="n">
        <f aca="false">I32/SUM($I$29:$I$32)</f>
        <v>0.10893874663644</v>
      </c>
      <c r="K32" s="7" t="n">
        <f aca="false">(B32*$J$29+C32*$J$30+D32*$J$31+E32*$J$32)/J32</f>
        <v>4.01516526743152</v>
      </c>
    </row>
    <row r="34" customFormat="false" ht="19" hidden="false" customHeight="false" outlineLevel="0" collapsed="false">
      <c r="H34" s="3" t="s">
        <v>45</v>
      </c>
      <c r="I34" s="7" t="n">
        <f aca="false">AVERAGE(K29:K32)</f>
        <v>4.01035627646656</v>
      </c>
    </row>
    <row r="35" customFormat="false" ht="19" hidden="false" customHeight="false" outlineLevel="0" collapsed="false">
      <c r="H35" s="3" t="s">
        <v>46</v>
      </c>
      <c r="I35" s="7" t="n">
        <f aca="false">MAX(0,(I34-4)/(4-1))</f>
        <v>0.00345209215552137</v>
      </c>
    </row>
    <row r="36" customFormat="false" ht="19" hidden="false" customHeight="false" outlineLevel="0" collapsed="false">
      <c r="H36" s="3" t="s">
        <v>47</v>
      </c>
      <c r="I36" s="7" t="n">
        <v>0.9</v>
      </c>
    </row>
    <row r="37" customFormat="false" ht="19" hidden="false" customHeight="false" outlineLevel="0" collapsed="false">
      <c r="H37" s="3" t="s">
        <v>48</v>
      </c>
      <c r="I37" s="7" t="n">
        <f aca="false">I35/I36</f>
        <v>0.0038356579505793</v>
      </c>
      <c r="J37" s="3" t="s">
        <v>49</v>
      </c>
      <c r="K37" s="6" t="str">
        <f aca="false">IF(I37&lt;=0.1,"OK","ПРОВЕРИТЬ")</f>
        <v>OK</v>
      </c>
    </row>
    <row r="42" customFormat="false" ht="19" hidden="false" customHeight="false" outlineLevel="0" collapsed="false">
      <c r="A42" s="2" t="s">
        <v>55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27" hidden="false" customHeight="true" outlineLevel="0" collapsed="false">
      <c r="A43" s="6" t="s">
        <v>34</v>
      </c>
      <c r="B43" s="6" t="s">
        <v>51</v>
      </c>
      <c r="C43" s="6" t="s">
        <v>52</v>
      </c>
      <c r="D43" s="6" t="s">
        <v>53</v>
      </c>
      <c r="E43" s="6" t="s">
        <v>54</v>
      </c>
      <c r="I43" s="6" t="s">
        <v>42</v>
      </c>
      <c r="J43" s="6" t="s">
        <v>43</v>
      </c>
      <c r="K43" s="6" t="s">
        <v>44</v>
      </c>
    </row>
    <row r="44" customFormat="false" ht="19" hidden="false" customHeight="false" outlineLevel="0" collapsed="false">
      <c r="A44" s="3" t="s">
        <v>51</v>
      </c>
      <c r="B44" s="7" t="n">
        <v>1</v>
      </c>
      <c r="C44" s="8" t="n">
        <v>0.5</v>
      </c>
      <c r="D44" s="8" t="n">
        <v>0.5</v>
      </c>
      <c r="E44" s="8" t="n">
        <v>3</v>
      </c>
      <c r="I44" s="9" t="n">
        <f aca="false">PRODUCT(B44:E44)^(1/4)</f>
        <v>0.9306048591021</v>
      </c>
      <c r="J44" s="9" t="n">
        <f aca="false">I44/SUM($I$44:$I$47)</f>
        <v>0.199097835745555</v>
      </c>
      <c r="K44" s="7" t="n">
        <f aca="false">(B44*$J$44+C44*$J$45+D44*$J$46+E44*$J$47)/J44</f>
        <v>4.03194887861128</v>
      </c>
    </row>
    <row r="45" customFormat="false" ht="19" hidden="false" customHeight="false" outlineLevel="0" collapsed="false">
      <c r="A45" s="3" t="s">
        <v>52</v>
      </c>
      <c r="B45" s="7" t="n">
        <f aca="false">1/C44</f>
        <v>2</v>
      </c>
      <c r="C45" s="7" t="n">
        <v>1</v>
      </c>
      <c r="D45" s="8" t="n">
        <v>1</v>
      </c>
      <c r="E45" s="8" t="n">
        <v>4</v>
      </c>
      <c r="I45" s="9" t="n">
        <f aca="false">PRODUCT(B45:E45)^(1/4)</f>
        <v>1.68179283050743</v>
      </c>
      <c r="J45" s="9" t="n">
        <f aca="false">I45/SUM($I$44:$I$47)</f>
        <v>0.359810406588134</v>
      </c>
      <c r="K45" s="7" t="n">
        <f aca="false">(B45*$J$44+C45*$J$45+D45*$J$46+E45*$J$47)/J45</f>
        <v>4.01028392331017</v>
      </c>
    </row>
    <row r="46" customFormat="false" ht="19" hidden="false" customHeight="false" outlineLevel="0" collapsed="false">
      <c r="A46" s="3" t="s">
        <v>53</v>
      </c>
      <c r="B46" s="7" t="n">
        <f aca="false">1/D44</f>
        <v>2</v>
      </c>
      <c r="C46" s="7" t="n">
        <f aca="false">1/D45</f>
        <v>1</v>
      </c>
      <c r="D46" s="7" t="n">
        <v>1</v>
      </c>
      <c r="E46" s="8" t="n">
        <v>4</v>
      </c>
      <c r="I46" s="9" t="n">
        <f aca="false">PRODUCT(B46:E46)^(1/4)</f>
        <v>1.68179283050743</v>
      </c>
      <c r="J46" s="9" t="n">
        <f aca="false">I46/SUM($I$44:$I$47)</f>
        <v>0.359810406588134</v>
      </c>
      <c r="K46" s="7" t="n">
        <f aca="false">(B46*$J$44+C46*$J$45+D46*$J$46+E46*$J$47)/J46</f>
        <v>4.01028392331017</v>
      </c>
    </row>
    <row r="47" customFormat="false" ht="19" hidden="false" customHeight="false" outlineLevel="0" collapsed="false">
      <c r="A47" s="3" t="s">
        <v>54</v>
      </c>
      <c r="B47" s="7" t="n">
        <f aca="false">1/E44</f>
        <v>0.333333333333333</v>
      </c>
      <c r="C47" s="7" t="n">
        <f aca="false">1/E45</f>
        <v>0.25</v>
      </c>
      <c r="D47" s="7" t="n">
        <f aca="false">1/E46</f>
        <v>0.25</v>
      </c>
      <c r="E47" s="7" t="n">
        <v>1</v>
      </c>
      <c r="I47" s="9" t="n">
        <f aca="false">PRODUCT(B47:E47)^(1/4)</f>
        <v>0.379917842825796</v>
      </c>
      <c r="J47" s="9" t="n">
        <f aca="false">I47/SUM($I$44:$I$47)</f>
        <v>0.0812813510781777</v>
      </c>
      <c r="K47" s="7" t="n">
        <f aca="false">(B47*$J$44+C47*$J$45+D47*$J$46+E47*$J$47)/J47</f>
        <v>4.02986042032837</v>
      </c>
    </row>
    <row r="49" customFormat="false" ht="19" hidden="false" customHeight="false" outlineLevel="0" collapsed="false">
      <c r="H49" s="3" t="s">
        <v>45</v>
      </c>
      <c r="I49" s="7" t="n">
        <f aca="false">AVERAGE(K44:K47)</f>
        <v>4.02059428639</v>
      </c>
    </row>
    <row r="50" customFormat="false" ht="19" hidden="false" customHeight="false" outlineLevel="0" collapsed="false">
      <c r="H50" s="3" t="s">
        <v>46</v>
      </c>
      <c r="I50" s="7" t="n">
        <f aca="false">MAX(0,(I49-4)/(4-1))</f>
        <v>0.00686476212999843</v>
      </c>
    </row>
    <row r="51" customFormat="false" ht="19" hidden="false" customHeight="false" outlineLevel="0" collapsed="false">
      <c r="H51" s="3" t="s">
        <v>47</v>
      </c>
      <c r="I51" s="7" t="n">
        <v>0.9</v>
      </c>
    </row>
    <row r="52" customFormat="false" ht="19" hidden="false" customHeight="false" outlineLevel="0" collapsed="false">
      <c r="H52" s="3" t="s">
        <v>48</v>
      </c>
      <c r="I52" s="7" t="n">
        <f aca="false">I50/I51</f>
        <v>0.00762751347777603</v>
      </c>
      <c r="J52" s="3" t="s">
        <v>49</v>
      </c>
      <c r="K52" s="6" t="str">
        <f aca="false">IF(I52&lt;=0.1,"OK","ПРОВЕРИТЬ")</f>
        <v>OK</v>
      </c>
    </row>
    <row r="57" customFormat="false" ht="19" hidden="false" customHeight="false" outlineLevel="0" collapsed="false">
      <c r="A57" s="2" t="s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7" hidden="false" customHeight="true" outlineLevel="0" collapsed="false">
      <c r="A58" s="6" t="s">
        <v>34</v>
      </c>
      <c r="B58" s="6" t="s">
        <v>51</v>
      </c>
      <c r="C58" s="6" t="s">
        <v>52</v>
      </c>
      <c r="D58" s="6" t="s">
        <v>53</v>
      </c>
      <c r="E58" s="6" t="s">
        <v>54</v>
      </c>
      <c r="I58" s="6" t="s">
        <v>42</v>
      </c>
      <c r="J58" s="6" t="s">
        <v>43</v>
      </c>
      <c r="K58" s="6" t="s">
        <v>44</v>
      </c>
    </row>
    <row r="59" customFormat="false" ht="19" hidden="false" customHeight="false" outlineLevel="0" collapsed="false">
      <c r="A59" s="3" t="s">
        <v>51</v>
      </c>
      <c r="B59" s="7" t="n">
        <v>1</v>
      </c>
      <c r="C59" s="8" t="n">
        <v>0.333333333333333</v>
      </c>
      <c r="D59" s="8" t="n">
        <v>0.333333333333333</v>
      </c>
      <c r="E59" s="8" t="n">
        <v>2</v>
      </c>
      <c r="I59" s="9" t="n">
        <f aca="false">PRODUCT(B59:E59)^(1/4)</f>
        <v>0.686589047969039</v>
      </c>
      <c r="J59" s="9" t="n">
        <f aca="false">I59/SUM($I$59:$I$62)</f>
        <v>0.142166933416292</v>
      </c>
      <c r="K59" s="7" t="n">
        <f aca="false">(B59*$J$59+C59*$J$60+D59*$J$61+E59*$J$62)/J59</f>
        <v>4.03194887861128</v>
      </c>
    </row>
    <row r="60" customFormat="false" ht="19" hidden="false" customHeight="false" outlineLevel="0" collapsed="false">
      <c r="A60" s="3" t="s">
        <v>52</v>
      </c>
      <c r="B60" s="7" t="n">
        <f aca="false">1/C59</f>
        <v>3</v>
      </c>
      <c r="C60" s="7" t="n">
        <v>1</v>
      </c>
      <c r="D60" s="8" t="n">
        <v>1</v>
      </c>
      <c r="E60" s="8" t="n">
        <v>4</v>
      </c>
      <c r="I60" s="9" t="n">
        <f aca="false">PRODUCT(B60:E60)^(1/4)</f>
        <v>1.8612097182042</v>
      </c>
      <c r="J60" s="9" t="n">
        <f aca="false">I60/SUM($I$59:$I$62)</f>
        <v>0.385386977646086</v>
      </c>
      <c r="K60" s="7" t="n">
        <f aca="false">(B60*$J$59+C60*$J$60+D60*$J$61+E60*$J$62)/J60</f>
        <v>4.01028392331017</v>
      </c>
    </row>
    <row r="61" customFormat="false" ht="19" hidden="false" customHeight="false" outlineLevel="0" collapsed="false">
      <c r="A61" s="3" t="s">
        <v>53</v>
      </c>
      <c r="B61" s="7" t="n">
        <f aca="false">1/D59</f>
        <v>3</v>
      </c>
      <c r="C61" s="7" t="n">
        <f aca="false">1/D60</f>
        <v>1</v>
      </c>
      <c r="D61" s="7" t="n">
        <v>1</v>
      </c>
      <c r="E61" s="8" t="n">
        <v>4</v>
      </c>
      <c r="I61" s="9" t="n">
        <f aca="false">PRODUCT(B61:E61)^(1/4)</f>
        <v>1.8612097182042</v>
      </c>
      <c r="J61" s="9" t="n">
        <f aca="false">I61/SUM($I$59:$I$62)</f>
        <v>0.385386977646086</v>
      </c>
      <c r="K61" s="7" t="n">
        <f aca="false">(B61*$J$59+C61*$J$60+D61*$J$61+E61*$J$62)/J61</f>
        <v>4.01028392331017</v>
      </c>
    </row>
    <row r="62" customFormat="false" ht="19" hidden="false" customHeight="false" outlineLevel="0" collapsed="false">
      <c r="A62" s="3" t="s">
        <v>54</v>
      </c>
      <c r="B62" s="7" t="n">
        <f aca="false">1/E59</f>
        <v>0.5</v>
      </c>
      <c r="C62" s="7" t="n">
        <f aca="false">1/E60</f>
        <v>0.25</v>
      </c>
      <c r="D62" s="7" t="n">
        <f aca="false">1/E61</f>
        <v>0.25</v>
      </c>
      <c r="E62" s="7" t="n">
        <v>1</v>
      </c>
      <c r="I62" s="9" t="n">
        <f aca="false">PRODUCT(B62:E62)^(1/4)</f>
        <v>0.420448207626857</v>
      </c>
      <c r="J62" s="9" t="n">
        <f aca="false">I62/SUM($I$59:$I$62)</f>
        <v>0.0870591112915364</v>
      </c>
      <c r="K62" s="7" t="n">
        <f aca="false">(B62*$J$59+C62*$J$60+D62*$J$61+E62*$J$62)/J62</f>
        <v>4.02986042032837</v>
      </c>
    </row>
    <row r="64" customFormat="false" ht="19" hidden="false" customHeight="false" outlineLevel="0" collapsed="false">
      <c r="H64" s="3" t="s">
        <v>45</v>
      </c>
      <c r="I64" s="7" t="n">
        <f aca="false">AVERAGE(K59:K62)</f>
        <v>4.02059428639</v>
      </c>
    </row>
    <row r="65" customFormat="false" ht="19" hidden="false" customHeight="false" outlineLevel="0" collapsed="false">
      <c r="H65" s="3" t="s">
        <v>46</v>
      </c>
      <c r="I65" s="7" t="n">
        <f aca="false">MAX(0,(I64-4)/(4-1))</f>
        <v>0.00686476212999843</v>
      </c>
    </row>
    <row r="66" customFormat="false" ht="19" hidden="false" customHeight="false" outlineLevel="0" collapsed="false">
      <c r="H66" s="3" t="s">
        <v>47</v>
      </c>
      <c r="I66" s="7" t="n">
        <v>0.9</v>
      </c>
    </row>
    <row r="67" customFormat="false" ht="19" hidden="false" customHeight="false" outlineLevel="0" collapsed="false">
      <c r="H67" s="3" t="s">
        <v>48</v>
      </c>
      <c r="I67" s="7" t="n">
        <f aca="false">I65/I66</f>
        <v>0.00762751347777603</v>
      </c>
      <c r="J67" s="3" t="s">
        <v>49</v>
      </c>
      <c r="K67" s="6" t="str">
        <f aca="false">IF(I67&lt;=0.1,"OK","ПРОВЕРИТЬ")</f>
        <v>OK</v>
      </c>
    </row>
    <row r="72" customFormat="false" ht="19" hidden="false" customHeight="false" outlineLevel="0" collapsed="false">
      <c r="A72" s="2" t="s">
        <v>57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customFormat="false" ht="27" hidden="false" customHeight="true" outlineLevel="0" collapsed="false">
      <c r="A73" s="6" t="s">
        <v>34</v>
      </c>
      <c r="B73" s="6" t="s">
        <v>51</v>
      </c>
      <c r="C73" s="6" t="s">
        <v>52</v>
      </c>
      <c r="D73" s="6" t="s">
        <v>53</v>
      </c>
      <c r="E73" s="6" t="s">
        <v>54</v>
      </c>
      <c r="I73" s="6" t="s">
        <v>42</v>
      </c>
      <c r="J73" s="6" t="s">
        <v>43</v>
      </c>
      <c r="K73" s="6" t="s">
        <v>44</v>
      </c>
    </row>
    <row r="74" customFormat="false" ht="19" hidden="false" customHeight="false" outlineLevel="0" collapsed="false">
      <c r="A74" s="3" t="s">
        <v>51</v>
      </c>
      <c r="B74" s="7" t="n">
        <v>1</v>
      </c>
      <c r="C74" s="8" t="n">
        <v>2</v>
      </c>
      <c r="D74" s="8" t="n">
        <v>2</v>
      </c>
      <c r="E74" s="8" t="n">
        <v>3</v>
      </c>
      <c r="I74" s="9" t="n">
        <f aca="false">PRODUCT(B74:E74)^(1/4)</f>
        <v>1.8612097182042</v>
      </c>
      <c r="J74" s="9" t="n">
        <f aca="false">I74/SUM($I$74:$I$77)</f>
        <v>0.423146974560519</v>
      </c>
      <c r="K74" s="7" t="n">
        <f aca="false">(B74*$J$74+C74*$J$75+D74*$J$76+E74*$J$77)/J74</f>
        <v>4.01516526743152</v>
      </c>
    </row>
    <row r="75" customFormat="false" ht="19" hidden="false" customHeight="false" outlineLevel="0" collapsed="false">
      <c r="A75" s="3" t="s">
        <v>52</v>
      </c>
      <c r="B75" s="7" t="n">
        <f aca="false">1/C74</f>
        <v>0.5</v>
      </c>
      <c r="C75" s="7" t="n">
        <v>1</v>
      </c>
      <c r="D75" s="8" t="n">
        <v>1</v>
      </c>
      <c r="E75" s="8" t="n">
        <v>2</v>
      </c>
      <c r="I75" s="9" t="n">
        <f aca="false">PRODUCT(B75:E75)^(1/4)</f>
        <v>1</v>
      </c>
      <c r="J75" s="9" t="n">
        <f aca="false">I75/SUM($I$74:$I$77)</f>
        <v>0.227350507802418</v>
      </c>
      <c r="K75" s="7" t="n">
        <f aca="false">(B75*$J$74+C75*$J$75+D75*$J$76+E75*$J$77)/J75</f>
        <v>4.00517479092564</v>
      </c>
    </row>
    <row r="76" customFormat="false" ht="19" hidden="false" customHeight="false" outlineLevel="0" collapsed="false">
      <c r="A76" s="3" t="s">
        <v>53</v>
      </c>
      <c r="B76" s="7" t="n">
        <f aca="false">1/D74</f>
        <v>0.5</v>
      </c>
      <c r="C76" s="7" t="n">
        <f aca="false">1/D75</f>
        <v>1</v>
      </c>
      <c r="D76" s="7" t="n">
        <v>1</v>
      </c>
      <c r="E76" s="8" t="n">
        <v>2</v>
      </c>
      <c r="I76" s="9" t="n">
        <f aca="false">PRODUCT(B76:E76)^(1/4)</f>
        <v>1</v>
      </c>
      <c r="J76" s="9" t="n">
        <f aca="false">I76/SUM($I$74:$I$77)</f>
        <v>0.227350507802418</v>
      </c>
      <c r="K76" s="7" t="n">
        <f aca="false">(B76*$J$74+C76*$J$75+D76*$J$76+E76*$J$77)/J76</f>
        <v>4.00517479092564</v>
      </c>
    </row>
    <row r="77" customFormat="false" ht="19" hidden="false" customHeight="false" outlineLevel="0" collapsed="false">
      <c r="A77" s="3" t="s">
        <v>54</v>
      </c>
      <c r="B77" s="7" t="n">
        <f aca="false">1/E74</f>
        <v>0.333333333333333</v>
      </c>
      <c r="C77" s="7" t="n">
        <f aca="false">1/E75</f>
        <v>0.5</v>
      </c>
      <c r="D77" s="7" t="n">
        <f aca="false">1/E76</f>
        <v>0.5</v>
      </c>
      <c r="E77" s="7" t="n">
        <v>1</v>
      </c>
      <c r="I77" s="9" t="n">
        <f aca="false">PRODUCT(B77:E77)^(1/4)</f>
        <v>0.537284965911771</v>
      </c>
      <c r="J77" s="9" t="n">
        <f aca="false">I77/SUM($I$74:$I$77)</f>
        <v>0.122152009834646</v>
      </c>
      <c r="K77" s="7" t="n">
        <f aca="false">(B77*$J$74+C77*$J$75+D77*$J$76+E77*$J$77)/J77</f>
        <v>4.01591025658345</v>
      </c>
    </row>
    <row r="79" customFormat="false" ht="19" hidden="false" customHeight="false" outlineLevel="0" collapsed="false">
      <c r="H79" s="3" t="s">
        <v>45</v>
      </c>
      <c r="I79" s="7" t="n">
        <f aca="false">AVERAGE(K74:K77)</f>
        <v>4.01035627646656</v>
      </c>
    </row>
    <row r="80" customFormat="false" ht="19" hidden="false" customHeight="false" outlineLevel="0" collapsed="false">
      <c r="H80" s="3" t="s">
        <v>46</v>
      </c>
      <c r="I80" s="7" t="n">
        <f aca="false">MAX(0,(I79-4)/(4-1))</f>
        <v>0.00345209215552137</v>
      </c>
    </row>
    <row r="81" customFormat="false" ht="19" hidden="false" customHeight="false" outlineLevel="0" collapsed="false">
      <c r="H81" s="3" t="s">
        <v>47</v>
      </c>
      <c r="I81" s="7" t="n">
        <v>0.9</v>
      </c>
    </row>
    <row r="82" customFormat="false" ht="19" hidden="false" customHeight="false" outlineLevel="0" collapsed="false">
      <c r="H82" s="3" t="s">
        <v>48</v>
      </c>
      <c r="I82" s="7" t="n">
        <f aca="false">I80/I81</f>
        <v>0.0038356579505793</v>
      </c>
      <c r="J82" s="3" t="s">
        <v>49</v>
      </c>
      <c r="K82" s="6" t="str">
        <f aca="false">IF(I82&lt;=0.1,"OK","ПРОВЕРИТЬ")</f>
        <v>OK</v>
      </c>
    </row>
    <row r="87" customFormat="false" ht="19" hidden="false" customHeight="false" outlineLevel="0" collapsed="false">
      <c r="A87" s="2" t="s">
        <v>58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customFormat="false" ht="27" hidden="false" customHeight="true" outlineLevel="0" collapsed="false">
      <c r="A88" s="6" t="s">
        <v>34</v>
      </c>
      <c r="B88" s="6" t="s">
        <v>51</v>
      </c>
      <c r="C88" s="6" t="s">
        <v>52</v>
      </c>
      <c r="D88" s="6" t="s">
        <v>53</v>
      </c>
      <c r="E88" s="6" t="s">
        <v>54</v>
      </c>
      <c r="I88" s="6" t="s">
        <v>42</v>
      </c>
      <c r="J88" s="6" t="s">
        <v>43</v>
      </c>
      <c r="K88" s="6" t="s">
        <v>44</v>
      </c>
    </row>
    <row r="89" customFormat="false" ht="19" hidden="false" customHeight="false" outlineLevel="0" collapsed="false">
      <c r="A89" s="3" t="s">
        <v>51</v>
      </c>
      <c r="B89" s="7" t="n">
        <v>1</v>
      </c>
      <c r="C89" s="8" t="n">
        <v>4</v>
      </c>
      <c r="D89" s="8" t="n">
        <v>3</v>
      </c>
      <c r="E89" s="8" t="n">
        <v>0.333333333333333</v>
      </c>
      <c r="I89" s="9" t="n">
        <f aca="false">PRODUCT(B89:E89)^(1/4)</f>
        <v>1.4142135623731</v>
      </c>
      <c r="J89" s="9" t="n">
        <f aca="false">I89/SUM($I$89:$I$92)</f>
        <v>0.258139921184987</v>
      </c>
      <c r="K89" s="7" t="n">
        <f aca="false">(B89*$J$89+C89*$J$90+D89*$J$91+E89*$J$92)/J89</f>
        <v>4.08241048012772</v>
      </c>
    </row>
    <row r="90" customFormat="false" ht="19" hidden="false" customHeight="false" outlineLevel="0" collapsed="false">
      <c r="A90" s="3" t="s">
        <v>52</v>
      </c>
      <c r="B90" s="7" t="n">
        <f aca="false">1/C89</f>
        <v>0.25</v>
      </c>
      <c r="C90" s="7" t="n">
        <v>1</v>
      </c>
      <c r="D90" s="8" t="n">
        <v>0.5</v>
      </c>
      <c r="E90" s="8" t="n">
        <v>0.166666666666667</v>
      </c>
      <c r="I90" s="9" t="n">
        <f aca="false">PRODUCT(B90:E90)^(1/4)</f>
        <v>0.379917842825796</v>
      </c>
      <c r="J90" s="9" t="n">
        <f aca="false">I90/SUM($I$89:$I$92)</f>
        <v>0.0693473493771714</v>
      </c>
      <c r="K90" s="7" t="n">
        <f aca="false">(B90*$J$89+C90*$J$90+D90*$J$91+E90*$J$92)/J90</f>
        <v>4.07707574267618</v>
      </c>
    </row>
    <row r="91" customFormat="false" ht="19" hidden="false" customHeight="false" outlineLevel="0" collapsed="false">
      <c r="A91" s="3" t="s">
        <v>53</v>
      </c>
      <c r="B91" s="7" t="n">
        <f aca="false">1/D89</f>
        <v>0.333333333333333</v>
      </c>
      <c r="C91" s="7" t="n">
        <f aca="false">1/D90</f>
        <v>2</v>
      </c>
      <c r="D91" s="7" t="n">
        <v>1</v>
      </c>
      <c r="E91" s="8" t="n">
        <v>0.2</v>
      </c>
      <c r="I91" s="9" t="n">
        <f aca="false">PRODUCT(B91:E91)^(1/4)</f>
        <v>0.604275079471354</v>
      </c>
      <c r="J91" s="9" t="n">
        <f aca="false">I91/SUM($I$89:$I$92)</f>
        <v>0.110299834154493</v>
      </c>
      <c r="K91" s="7" t="n">
        <f aca="false">(B91*$J$89+C91*$J$90+D91*$J$91+E91*$J$92)/J91</f>
        <v>4.05697574969811</v>
      </c>
    </row>
    <row r="92" customFormat="false" ht="19" hidden="false" customHeight="false" outlineLevel="0" collapsed="false">
      <c r="A92" s="3" t="s">
        <v>54</v>
      </c>
      <c r="B92" s="7" t="n">
        <f aca="false">1/E89</f>
        <v>3</v>
      </c>
      <c r="C92" s="7" t="n">
        <f aca="false">1/E90</f>
        <v>6</v>
      </c>
      <c r="D92" s="7" t="n">
        <f aca="false">1/E91</f>
        <v>5</v>
      </c>
      <c r="E92" s="7" t="n">
        <v>1</v>
      </c>
      <c r="I92" s="9" t="n">
        <f aca="false">PRODUCT(B92:E92)^(1/4)</f>
        <v>3.08007028824102</v>
      </c>
      <c r="J92" s="9" t="n">
        <f aca="false">I92/SUM($I$89:$I$92)</f>
        <v>0.562212895283349</v>
      </c>
      <c r="K92" s="7" t="n">
        <f aca="false">(B92*$J$89+C92*$J$90+D92*$J$91+E92*$J$92)/J92</f>
        <v>4.09847576461672</v>
      </c>
    </row>
    <row r="94" customFormat="false" ht="19" hidden="false" customHeight="false" outlineLevel="0" collapsed="false">
      <c r="H94" s="3" t="s">
        <v>45</v>
      </c>
      <c r="I94" s="7" t="n">
        <f aca="false">AVERAGE(K89:K92)</f>
        <v>4.07873443427968</v>
      </c>
    </row>
    <row r="95" customFormat="false" ht="19" hidden="false" customHeight="false" outlineLevel="0" collapsed="false">
      <c r="H95" s="3" t="s">
        <v>46</v>
      </c>
      <c r="I95" s="7" t="n">
        <f aca="false">MAX(0,(I94-4)/(4-1))</f>
        <v>0.0262448114265614</v>
      </c>
    </row>
    <row r="96" customFormat="false" ht="19" hidden="false" customHeight="false" outlineLevel="0" collapsed="false">
      <c r="H96" s="3" t="s">
        <v>47</v>
      </c>
      <c r="I96" s="7" t="n">
        <v>0.9</v>
      </c>
    </row>
    <row r="97" customFormat="false" ht="19" hidden="false" customHeight="false" outlineLevel="0" collapsed="false">
      <c r="H97" s="3" t="s">
        <v>48</v>
      </c>
      <c r="I97" s="7" t="n">
        <f aca="false">I95/I96</f>
        <v>0.0291609015850682</v>
      </c>
      <c r="J97" s="3" t="s">
        <v>49</v>
      </c>
      <c r="K97" s="6" t="str">
        <f aca="false">IF(I97&lt;=0.1,"OK","ПРОВЕРИТЬ")</f>
        <v>OK</v>
      </c>
    </row>
    <row r="102" customFormat="false" ht="19" hidden="false" customHeight="false" outlineLevel="0" collapsed="false">
      <c r="A102" s="2" t="s">
        <v>59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customFormat="false" ht="27" hidden="false" customHeight="true" outlineLevel="0" collapsed="false">
      <c r="A103" s="6" t="s">
        <v>34</v>
      </c>
      <c r="B103" s="6" t="s">
        <v>51</v>
      </c>
      <c r="C103" s="6" t="s">
        <v>52</v>
      </c>
      <c r="D103" s="6" t="s">
        <v>53</v>
      </c>
      <c r="E103" s="6" t="s">
        <v>54</v>
      </c>
      <c r="I103" s="6" t="s">
        <v>42</v>
      </c>
      <c r="J103" s="6" t="s">
        <v>43</v>
      </c>
      <c r="K103" s="6" t="s">
        <v>44</v>
      </c>
    </row>
    <row r="104" customFormat="false" ht="19" hidden="false" customHeight="false" outlineLevel="0" collapsed="false">
      <c r="A104" s="3" t="s">
        <v>51</v>
      </c>
      <c r="B104" s="7" t="n">
        <v>1</v>
      </c>
      <c r="C104" s="8" t="n">
        <v>4</v>
      </c>
      <c r="D104" s="8" t="n">
        <v>3</v>
      </c>
      <c r="E104" s="8" t="n">
        <v>0.5</v>
      </c>
      <c r="I104" s="9" t="n">
        <f aca="false">PRODUCT(B104:E104)^(1/4)</f>
        <v>1.56508458007329</v>
      </c>
      <c r="J104" s="9" t="n">
        <f aca="false">I104/SUM($I$104:$I$107)</f>
        <v>0.305887898281429</v>
      </c>
      <c r="K104" s="7" t="n">
        <f aca="false">(B104*$J$104+C104*$J$105+D104*$J$106+E104*$J$107)/J104</f>
        <v>4.04443878664547</v>
      </c>
    </row>
    <row r="105" customFormat="false" ht="19" hidden="false" customHeight="false" outlineLevel="0" collapsed="false">
      <c r="A105" s="3" t="s">
        <v>52</v>
      </c>
      <c r="B105" s="7" t="n">
        <f aca="false">1/C104</f>
        <v>0.25</v>
      </c>
      <c r="C105" s="7" t="n">
        <v>1</v>
      </c>
      <c r="D105" s="8" t="n">
        <v>0.5</v>
      </c>
      <c r="E105" s="8" t="n">
        <v>0.2</v>
      </c>
      <c r="I105" s="9" t="n">
        <f aca="false">PRODUCT(B105:E105)^(1/4)</f>
        <v>0.397635364383525</v>
      </c>
      <c r="J105" s="9" t="n">
        <f aca="false">I105/SUM($I$104:$I$107)</f>
        <v>0.077715829190491</v>
      </c>
      <c r="K105" s="7" t="n">
        <f aca="false">(B105*$J$104+C105*$J$105+D105*$J$106+E105*$J$107)/J105</f>
        <v>4.05233431864472</v>
      </c>
    </row>
    <row r="106" customFormat="false" ht="19" hidden="false" customHeight="false" outlineLevel="0" collapsed="false">
      <c r="A106" s="3" t="s">
        <v>53</v>
      </c>
      <c r="B106" s="7" t="n">
        <f aca="false">1/D104</f>
        <v>0.333333333333333</v>
      </c>
      <c r="C106" s="7" t="n">
        <f aca="false">1/D105</f>
        <v>2</v>
      </c>
      <c r="D106" s="7" t="n">
        <v>1</v>
      </c>
      <c r="E106" s="8" t="n">
        <v>0.25</v>
      </c>
      <c r="I106" s="9" t="n">
        <f aca="false">PRODUCT(B106:E106)^(1/4)</f>
        <v>0.638943104246272</v>
      </c>
      <c r="J106" s="9" t="n">
        <f aca="false">I106/SUM($I$104:$I$107)</f>
        <v>0.124878211546978</v>
      </c>
      <c r="K106" s="7" t="n">
        <f aca="false">(B106*$J$104+C106*$J$105+D106*$J$106+E106*$J$107)/J106</f>
        <v>4.0451573711374</v>
      </c>
    </row>
    <row r="107" customFormat="false" ht="19" hidden="false" customHeight="false" outlineLevel="0" collapsed="false">
      <c r="A107" s="3" t="s">
        <v>54</v>
      </c>
      <c r="B107" s="7" t="n">
        <f aca="false">1/E104</f>
        <v>2</v>
      </c>
      <c r="C107" s="7" t="n">
        <f aca="false">1/E105</f>
        <v>5</v>
      </c>
      <c r="D107" s="7" t="n">
        <f aca="false">1/E106</f>
        <v>4</v>
      </c>
      <c r="E107" s="7" t="n">
        <v>1</v>
      </c>
      <c r="I107" s="9" t="n">
        <f aca="false">PRODUCT(B107:E107)^(1/4)</f>
        <v>2.51486685936587</v>
      </c>
      <c r="J107" s="9" t="n">
        <f aca="false">I107/SUM($I$104:$I$107)</f>
        <v>0.491518060981102</v>
      </c>
      <c r="K107" s="7" t="n">
        <f aca="false">(B107*$J$104+C107*$J$105+D107*$J$106+E107*$J$107)/J107</f>
        <v>4.05150086592828</v>
      </c>
    </row>
    <row r="109" customFormat="false" ht="19" hidden="false" customHeight="false" outlineLevel="0" collapsed="false">
      <c r="H109" s="3" t="s">
        <v>45</v>
      </c>
      <c r="I109" s="7" t="n">
        <f aca="false">AVERAGE(K104:K107)</f>
        <v>4.04835783558897</v>
      </c>
    </row>
    <row r="110" customFormat="false" ht="19" hidden="false" customHeight="false" outlineLevel="0" collapsed="false">
      <c r="H110" s="3" t="s">
        <v>46</v>
      </c>
      <c r="I110" s="7" t="n">
        <f aca="false">MAX(0,(I109-4)/(4-1))</f>
        <v>0.0161192785296554</v>
      </c>
    </row>
    <row r="111" customFormat="false" ht="19" hidden="false" customHeight="false" outlineLevel="0" collapsed="false">
      <c r="H111" s="3" t="s">
        <v>47</v>
      </c>
      <c r="I111" s="7" t="n">
        <v>0.9</v>
      </c>
    </row>
    <row r="112" customFormat="false" ht="19" hidden="false" customHeight="false" outlineLevel="0" collapsed="false">
      <c r="H112" s="3" t="s">
        <v>48</v>
      </c>
      <c r="I112" s="7" t="n">
        <f aca="false">I110/I111</f>
        <v>0.0179103094773949</v>
      </c>
      <c r="J112" s="3" t="s">
        <v>49</v>
      </c>
      <c r="K112" s="6" t="str">
        <f aca="false">IF(I112&lt;=0.1,"OK","ПРОВЕРИТЬ")</f>
        <v>OK</v>
      </c>
    </row>
    <row r="117" customFormat="false" ht="19" hidden="false" customHeight="false" outlineLevel="0" collapsed="false">
      <c r="A117" s="2" t="s">
        <v>60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customFormat="false" ht="27" hidden="false" customHeight="true" outlineLevel="0" collapsed="false">
      <c r="A118" s="6" t="s">
        <v>34</v>
      </c>
      <c r="B118" s="6" t="s">
        <v>51</v>
      </c>
      <c r="C118" s="6" t="s">
        <v>52</v>
      </c>
      <c r="D118" s="6" t="s">
        <v>53</v>
      </c>
      <c r="E118" s="6" t="s">
        <v>54</v>
      </c>
      <c r="I118" s="6" t="s">
        <v>42</v>
      </c>
      <c r="J118" s="6" t="s">
        <v>43</v>
      </c>
      <c r="K118" s="6" t="s">
        <v>44</v>
      </c>
    </row>
    <row r="119" customFormat="false" ht="19" hidden="false" customHeight="false" outlineLevel="0" collapsed="false">
      <c r="A119" s="3" t="s">
        <v>51</v>
      </c>
      <c r="B119" s="7" t="n">
        <v>1</v>
      </c>
      <c r="C119" s="8" t="n">
        <v>5</v>
      </c>
      <c r="D119" s="8" t="n">
        <v>4</v>
      </c>
      <c r="E119" s="8" t="n">
        <v>0.5</v>
      </c>
      <c r="I119" s="9" t="n">
        <f aca="false">PRODUCT(B119:E119)^(1/4)</f>
        <v>1.77827941003892</v>
      </c>
      <c r="J119" s="9" t="n">
        <f aca="false">I119/SUM($I$119:$I$122)</f>
        <v>0.324321109524692</v>
      </c>
      <c r="K119" s="7" t="n">
        <f aca="false">(B119*$J$119+C119*$J$120+D119*$J$121+E119*$J$122)/J119</f>
        <v>4.05771110644231</v>
      </c>
    </row>
    <row r="120" customFormat="false" ht="19" hidden="false" customHeight="false" outlineLevel="0" collapsed="false">
      <c r="A120" s="3" t="s">
        <v>52</v>
      </c>
      <c r="B120" s="7" t="n">
        <f aca="false">1/C119</f>
        <v>0.2</v>
      </c>
      <c r="C120" s="7" t="n">
        <v>1</v>
      </c>
      <c r="D120" s="8" t="n">
        <v>0.5</v>
      </c>
      <c r="E120" s="8" t="n">
        <v>0.166666666666667</v>
      </c>
      <c r="I120" s="9" t="n">
        <f aca="false">PRODUCT(B120:E120)^(1/4)</f>
        <v>0.359304111963084</v>
      </c>
      <c r="J120" s="9" t="n">
        <f aca="false">I120/SUM($I$119:$I$122)</f>
        <v>0.0655295830288566</v>
      </c>
      <c r="K120" s="7" t="n">
        <f aca="false">(B120*$J$119+C120*$J$120+D120*$J$121+E120*$J$122)/J120</f>
        <v>4.0633831395404</v>
      </c>
    </row>
    <row r="121" customFormat="false" ht="19" hidden="false" customHeight="false" outlineLevel="0" collapsed="false">
      <c r="A121" s="3" t="s">
        <v>53</v>
      </c>
      <c r="B121" s="7" t="n">
        <f aca="false">1/D119</f>
        <v>0.25</v>
      </c>
      <c r="C121" s="7" t="n">
        <f aca="false">1/D120</f>
        <v>2</v>
      </c>
      <c r="D121" s="7" t="n">
        <v>1</v>
      </c>
      <c r="E121" s="8" t="n">
        <v>0.2</v>
      </c>
      <c r="I121" s="9" t="n">
        <f aca="false">PRODUCT(B121:E121)^(1/4)</f>
        <v>0.562341325190349</v>
      </c>
      <c r="J121" s="9" t="n">
        <f aca="false">I121/SUM($I$119:$I$122)</f>
        <v>0.102559339937096</v>
      </c>
      <c r="K121" s="7" t="n">
        <f aca="false">(B121*$J$119+C121*$J$120+D121*$J$121+E121*$J$122)/J121</f>
        <v>4.05830202430259</v>
      </c>
    </row>
    <row r="122" customFormat="false" ht="19" hidden="false" customHeight="false" outlineLevel="0" collapsed="false">
      <c r="A122" s="3" t="s">
        <v>54</v>
      </c>
      <c r="B122" s="7" t="n">
        <f aca="false">1/E119</f>
        <v>2</v>
      </c>
      <c r="C122" s="7" t="n">
        <f aca="false">1/E120</f>
        <v>6</v>
      </c>
      <c r="D122" s="7" t="n">
        <f aca="false">1/E121</f>
        <v>5</v>
      </c>
      <c r="E122" s="7" t="n">
        <v>1</v>
      </c>
      <c r="I122" s="9" t="n">
        <f aca="false">PRODUCT(B122:E122)^(1/4)</f>
        <v>2.78315768371374</v>
      </c>
      <c r="J122" s="9" t="n">
        <f aca="false">I122/SUM($I$119:$I$122)</f>
        <v>0.507589967509356</v>
      </c>
      <c r="K122" s="7" t="n">
        <f aca="false">(B122*$J$119+C122*$J$120+D122*$J$121+E122*$J$122)/J122</f>
        <v>4.06274063007234</v>
      </c>
    </row>
    <row r="124" customFormat="false" ht="19" hidden="false" customHeight="false" outlineLevel="0" collapsed="false">
      <c r="H124" s="3" t="s">
        <v>45</v>
      </c>
      <c r="I124" s="7" t="n">
        <f aca="false">AVERAGE(K119:K122)</f>
        <v>4.06053422508941</v>
      </c>
    </row>
    <row r="125" customFormat="false" ht="19" hidden="false" customHeight="false" outlineLevel="0" collapsed="false">
      <c r="H125" s="3" t="s">
        <v>46</v>
      </c>
      <c r="I125" s="7" t="n">
        <f aca="false">MAX(0,(I124-4)/(4-1))</f>
        <v>0.0201780750298036</v>
      </c>
    </row>
    <row r="126" customFormat="false" ht="19" hidden="false" customHeight="false" outlineLevel="0" collapsed="false">
      <c r="H126" s="3" t="s">
        <v>47</v>
      </c>
      <c r="I126" s="7" t="n">
        <v>0.9</v>
      </c>
    </row>
    <row r="127" customFormat="false" ht="19" hidden="false" customHeight="false" outlineLevel="0" collapsed="false">
      <c r="H127" s="3" t="s">
        <v>48</v>
      </c>
      <c r="I127" s="7" t="n">
        <f aca="false">I125/I126</f>
        <v>0.0224200833664484</v>
      </c>
      <c r="J127" s="3" t="s">
        <v>49</v>
      </c>
      <c r="K127" s="6" t="str">
        <f aca="false">IF(I127&lt;=0.1,"OK","ПРОВЕРИТЬ")</f>
        <v>OK</v>
      </c>
    </row>
  </sheetData>
  <mergeCells count="10">
    <mergeCell ref="A1:L1"/>
    <mergeCell ref="A2:L2"/>
    <mergeCell ref="A6:L6"/>
    <mergeCell ref="A27:L27"/>
    <mergeCell ref="A42:L42"/>
    <mergeCell ref="A57:L57"/>
    <mergeCell ref="A72:L72"/>
    <mergeCell ref="A87:L87"/>
    <mergeCell ref="A102:L102"/>
    <mergeCell ref="A117:L117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6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9" zeroHeight="false" outlineLevelRow="0" outlineLevelCol="0"/>
  <cols>
    <col collapsed="false" customWidth="true" hidden="false" outlineLevel="0" max="1" min="1" style="0" width="37"/>
    <col collapsed="false" customWidth="true" hidden="false" outlineLevel="0" max="8" min="2" style="0" width="16"/>
    <col collapsed="false" customWidth="true" hidden="false" outlineLevel="0" max="12" min="9" style="0" width="19"/>
  </cols>
  <sheetData>
    <row r="1" customFormat="false" ht="27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" hidden="false" customHeight="true" outlineLevel="0" collapsed="false">
      <c r="A2" s="5" t="s">
        <v>32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7" hidden="false" customHeight="true" outlineLevel="0" collapsed="false"/>
    <row r="6" customFormat="false" ht="19" hidden="false" customHeight="false" outlineLevel="0" collapsed="false">
      <c r="A6" s="2" t="s">
        <v>33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27" hidden="false" customHeight="true" outlineLevel="0" collapsed="false">
      <c r="A7" s="6" t="s">
        <v>34</v>
      </c>
      <c r="B7" s="6" t="s">
        <v>35</v>
      </c>
      <c r="C7" s="6" t="s">
        <v>36</v>
      </c>
      <c r="D7" s="6" t="s">
        <v>37</v>
      </c>
      <c r="E7" s="6" t="s">
        <v>38</v>
      </c>
      <c r="F7" s="6" t="s">
        <v>39</v>
      </c>
      <c r="G7" s="6" t="s">
        <v>40</v>
      </c>
      <c r="H7" s="6" t="s">
        <v>41</v>
      </c>
      <c r="I7" s="6" t="s">
        <v>42</v>
      </c>
      <c r="J7" s="6" t="s">
        <v>43</v>
      </c>
      <c r="K7" s="6" t="s">
        <v>44</v>
      </c>
    </row>
    <row r="8" customFormat="false" ht="19" hidden="false" customHeight="false" outlineLevel="0" collapsed="false">
      <c r="A8" s="3" t="s">
        <v>35</v>
      </c>
      <c r="B8" s="7" t="n">
        <v>1</v>
      </c>
      <c r="C8" s="8" t="n">
        <v>1</v>
      </c>
      <c r="D8" s="8" t="n">
        <v>2</v>
      </c>
      <c r="E8" s="8" t="n">
        <v>1</v>
      </c>
      <c r="F8" s="8" t="n">
        <v>1</v>
      </c>
      <c r="G8" s="8" t="n">
        <v>2</v>
      </c>
      <c r="H8" s="8" t="n">
        <v>3</v>
      </c>
      <c r="I8" s="9" t="n">
        <f aca="false">PRODUCT(B8:H8)^(1/7)</f>
        <v>1.42616163522738</v>
      </c>
      <c r="J8" s="9" t="n">
        <f aca="false">I8/SUM($I$8:$I$14)</f>
        <v>0.186951375729286</v>
      </c>
      <c r="K8" s="7" t="n">
        <f aca="false">(B8*$J$8+C8*$J$9+D8*$J$10+E8*$J$11+F8*$J$12+G8*$J$13+H8*$J$14)/J8</f>
        <v>7.00499969557091</v>
      </c>
    </row>
    <row r="9" customFormat="false" ht="19" hidden="false" customHeight="false" outlineLevel="0" collapsed="false">
      <c r="A9" s="3" t="s">
        <v>36</v>
      </c>
      <c r="B9" s="7" t="n">
        <f aca="false">1/C8</f>
        <v>1</v>
      </c>
      <c r="C9" s="7" t="n">
        <v>1</v>
      </c>
      <c r="D9" s="8" t="n">
        <v>2</v>
      </c>
      <c r="E9" s="8" t="n">
        <v>1</v>
      </c>
      <c r="F9" s="8" t="n">
        <v>1</v>
      </c>
      <c r="G9" s="8" t="n">
        <v>2</v>
      </c>
      <c r="H9" s="8" t="n">
        <v>3</v>
      </c>
      <c r="I9" s="9" t="n">
        <f aca="false">PRODUCT(B9:H9)^(1/7)</f>
        <v>1.42616163522738</v>
      </c>
      <c r="J9" s="9" t="n">
        <f aca="false">I9/SUM($I$8:$I$14)</f>
        <v>0.186951375729286</v>
      </c>
      <c r="K9" s="7" t="n">
        <f aca="false">(B9*$J$8+C9*$J$9+D9*$J$10+E9*$J$11+F9*$J$12+G9*$J$13+H9*$J$14)/J9</f>
        <v>7.00499969557091</v>
      </c>
    </row>
    <row r="10" customFormat="false" ht="19" hidden="false" customHeight="false" outlineLevel="0" collapsed="false">
      <c r="A10" s="3" t="s">
        <v>37</v>
      </c>
      <c r="B10" s="7" t="n">
        <f aca="false">1/D8</f>
        <v>0.5</v>
      </c>
      <c r="C10" s="7" t="n">
        <f aca="false">1/D9</f>
        <v>0.5</v>
      </c>
      <c r="D10" s="7" t="n">
        <v>1</v>
      </c>
      <c r="E10" s="8" t="n">
        <v>0.5</v>
      </c>
      <c r="F10" s="8" t="n">
        <v>0.5</v>
      </c>
      <c r="G10" s="8" t="n">
        <v>1</v>
      </c>
      <c r="H10" s="8" t="n">
        <v>2</v>
      </c>
      <c r="I10" s="9" t="n">
        <f aca="false">PRODUCT(B10:H10)^(1/7)</f>
        <v>0.742997144568474</v>
      </c>
      <c r="J10" s="9" t="n">
        <f aca="false">I10/SUM($I$8:$I$14)</f>
        <v>0.0973973320477529</v>
      </c>
      <c r="K10" s="7" t="n">
        <f aca="false">(B10*$J$8+C10*$J$9+D10*$J$10+E10*$J$11+F10*$J$12+G10*$J$13+H10*$J$14)/J10</f>
        <v>7.01761605947963</v>
      </c>
    </row>
    <row r="11" customFormat="false" ht="19" hidden="false" customHeight="false" outlineLevel="0" collapsed="false">
      <c r="A11" s="3" t="s">
        <v>38</v>
      </c>
      <c r="B11" s="7" t="n">
        <f aca="false">1/E8</f>
        <v>1</v>
      </c>
      <c r="C11" s="7" t="n">
        <f aca="false">1/E9</f>
        <v>1</v>
      </c>
      <c r="D11" s="7" t="n">
        <f aca="false">1/E10</f>
        <v>2</v>
      </c>
      <c r="E11" s="7" t="n">
        <v>1</v>
      </c>
      <c r="F11" s="8" t="n">
        <v>1</v>
      </c>
      <c r="G11" s="8" t="n">
        <v>2</v>
      </c>
      <c r="H11" s="8" t="n">
        <v>3</v>
      </c>
      <c r="I11" s="9" t="n">
        <f aca="false">PRODUCT(B11:H11)^(1/7)</f>
        <v>1.42616163522738</v>
      </c>
      <c r="J11" s="9" t="n">
        <f aca="false">I11/SUM($I$8:$I$14)</f>
        <v>0.186951375729286</v>
      </c>
      <c r="K11" s="7" t="n">
        <f aca="false">(B11*$J$8+C11*$J$9+D11*$J$10+E11*$J$11+F11*$J$12+G11*$J$13+H11*$J$14)/J11</f>
        <v>7.00499969557091</v>
      </c>
    </row>
    <row r="12" customFormat="false" ht="19" hidden="false" customHeight="false" outlineLevel="0" collapsed="false">
      <c r="A12" s="3" t="s">
        <v>39</v>
      </c>
      <c r="B12" s="7" t="n">
        <f aca="false">1/F8</f>
        <v>1</v>
      </c>
      <c r="C12" s="7" t="n">
        <f aca="false">1/F9</f>
        <v>1</v>
      </c>
      <c r="D12" s="7" t="n">
        <f aca="false">1/F10</f>
        <v>2</v>
      </c>
      <c r="E12" s="7" t="n">
        <f aca="false">1/F11</f>
        <v>1</v>
      </c>
      <c r="F12" s="7" t="n">
        <v>1</v>
      </c>
      <c r="G12" s="8" t="n">
        <v>2</v>
      </c>
      <c r="H12" s="8" t="n">
        <v>3</v>
      </c>
      <c r="I12" s="9" t="n">
        <f aca="false">PRODUCT(B12:H12)^(1/7)</f>
        <v>1.42616163522738</v>
      </c>
      <c r="J12" s="9" t="n">
        <f aca="false">I12/SUM($I$8:$I$14)</f>
        <v>0.186951375729286</v>
      </c>
      <c r="K12" s="7" t="n">
        <f aca="false">(B12*$J$8+C12*$J$9+D12*$J$10+E12*$J$11+F12*$J$12+G12*$J$13+H12*$J$14)/J12</f>
        <v>7.00499969557091</v>
      </c>
    </row>
    <row r="13" customFormat="false" ht="19" hidden="false" customHeight="false" outlineLevel="0" collapsed="false">
      <c r="A13" s="3" t="s">
        <v>40</v>
      </c>
      <c r="B13" s="7" t="n">
        <f aca="false">1/G8</f>
        <v>0.5</v>
      </c>
      <c r="C13" s="7" t="n">
        <f aca="false">1/G9</f>
        <v>0.5</v>
      </c>
      <c r="D13" s="7" t="n">
        <f aca="false">1/G10</f>
        <v>1</v>
      </c>
      <c r="E13" s="7" t="n">
        <f aca="false">1/G11</f>
        <v>0.5</v>
      </c>
      <c r="F13" s="7" t="n">
        <f aca="false">1/G12</f>
        <v>0.5</v>
      </c>
      <c r="G13" s="7" t="n">
        <v>1</v>
      </c>
      <c r="H13" s="8" t="n">
        <v>2</v>
      </c>
      <c r="I13" s="9" t="n">
        <f aca="false">PRODUCT(B13:H13)^(1/7)</f>
        <v>0.742997144568474</v>
      </c>
      <c r="J13" s="9" t="n">
        <f aca="false">I13/SUM($I$8:$I$14)</f>
        <v>0.0973973320477529</v>
      </c>
      <c r="K13" s="7" t="n">
        <f aca="false">(B13*$J$8+C13*$J$9+D13*$J$10+E13*$J$11+F13*$J$12+G13*$J$13+H13*$J$14)/J13</f>
        <v>7.01761605947963</v>
      </c>
    </row>
    <row r="14" customFormat="false" ht="19" hidden="false" customHeight="false" outlineLevel="0" collapsed="false">
      <c r="A14" s="3" t="s">
        <v>41</v>
      </c>
      <c r="B14" s="7" t="n">
        <f aca="false">1/H8</f>
        <v>0.333333333333333</v>
      </c>
      <c r="C14" s="7" t="n">
        <f aca="false">1/H9</f>
        <v>0.333333333333333</v>
      </c>
      <c r="D14" s="7" t="n">
        <f aca="false">1/H10</f>
        <v>0.5</v>
      </c>
      <c r="E14" s="7" t="n">
        <f aca="false">1/H11</f>
        <v>0.333333333333333</v>
      </c>
      <c r="F14" s="7" t="n">
        <f aca="false">1/H12</f>
        <v>0.333333333333333</v>
      </c>
      <c r="G14" s="7" t="n">
        <f aca="false">1/H13</f>
        <v>0.5</v>
      </c>
      <c r="H14" s="7" t="n">
        <v>1</v>
      </c>
      <c r="I14" s="9" t="n">
        <f aca="false">PRODUCT(B14:H14)^(1/7)</f>
        <v>0.437875567139763</v>
      </c>
      <c r="J14" s="9" t="n">
        <f aca="false">I14/SUM($I$8:$I$14)</f>
        <v>0.0573998329873516</v>
      </c>
      <c r="K14" s="7" t="n">
        <f aca="false">(B14*$J$8+C14*$J$9+D14*$J$10+E14*$J$11+F14*$J$12+G14*$J$13+H14*$J$14)/J14</f>
        <v>7.03949201553467</v>
      </c>
    </row>
    <row r="16" customFormat="false" ht="19" hidden="false" customHeight="false" outlineLevel="0" collapsed="false">
      <c r="H16" s="3" t="s">
        <v>45</v>
      </c>
      <c r="I16" s="7" t="n">
        <f aca="false">AVERAGE(K8:K14)</f>
        <v>7.01353184525394</v>
      </c>
    </row>
    <row r="17" customFormat="false" ht="19" hidden="false" customHeight="false" outlineLevel="0" collapsed="false">
      <c r="H17" s="3" t="s">
        <v>46</v>
      </c>
      <c r="I17" s="7" t="n">
        <f aca="false">MAX(0,(I16-7)/(7-1))</f>
        <v>0.00225530754232306</v>
      </c>
    </row>
    <row r="18" customFormat="false" ht="19" hidden="false" customHeight="false" outlineLevel="0" collapsed="false">
      <c r="H18" s="3" t="s">
        <v>47</v>
      </c>
      <c r="I18" s="7" t="n">
        <v>1.32</v>
      </c>
    </row>
    <row r="19" customFormat="false" ht="19" hidden="false" customHeight="false" outlineLevel="0" collapsed="false">
      <c r="H19" s="3" t="s">
        <v>48</v>
      </c>
      <c r="I19" s="7" t="n">
        <f aca="false">I17/I18</f>
        <v>0.00170856631994171</v>
      </c>
      <c r="J19" s="3" t="s">
        <v>49</v>
      </c>
      <c r="K19" s="6" t="str">
        <f aca="false">IF(I19&lt;=0.1,"OK","ПРОВЕРИТЬ")</f>
        <v>OK</v>
      </c>
    </row>
    <row r="27" customFormat="false" ht="19" hidden="false" customHeight="false" outlineLevel="0" collapsed="false">
      <c r="A27" s="2" t="s">
        <v>50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27" hidden="false" customHeight="true" outlineLevel="0" collapsed="false">
      <c r="A28" s="6" t="s">
        <v>34</v>
      </c>
      <c r="B28" s="6" t="s">
        <v>51</v>
      </c>
      <c r="C28" s="6" t="s">
        <v>52</v>
      </c>
      <c r="D28" s="6" t="s">
        <v>53</v>
      </c>
      <c r="E28" s="6" t="s">
        <v>54</v>
      </c>
      <c r="I28" s="6" t="s">
        <v>42</v>
      </c>
      <c r="J28" s="6" t="s">
        <v>43</v>
      </c>
      <c r="K28" s="6" t="s">
        <v>44</v>
      </c>
    </row>
    <row r="29" customFormat="false" ht="19" hidden="false" customHeight="false" outlineLevel="0" collapsed="false">
      <c r="A29" s="3" t="s">
        <v>51</v>
      </c>
      <c r="B29" s="7" t="n">
        <v>1</v>
      </c>
      <c r="C29" s="8" t="n">
        <v>2</v>
      </c>
      <c r="D29" s="8" t="n">
        <v>1</v>
      </c>
      <c r="E29" s="8" t="n">
        <v>4</v>
      </c>
      <c r="I29" s="9" t="n">
        <f aca="false">PRODUCT(B29:E29)^(1/4)</f>
        <v>1.68179283050743</v>
      </c>
      <c r="J29" s="9" t="n">
        <f aca="false">I29/SUM($I$29:$I$32)</f>
        <v>0.359810406588134</v>
      </c>
      <c r="K29" s="7" t="n">
        <f aca="false">(B29*$J$29+C29*$J$30+D29*$J$31+E29*$J$32)/J29</f>
        <v>4.01028392331017</v>
      </c>
    </row>
    <row r="30" customFormat="false" ht="19" hidden="false" customHeight="false" outlineLevel="0" collapsed="false">
      <c r="A30" s="3" t="s">
        <v>52</v>
      </c>
      <c r="B30" s="7" t="n">
        <f aca="false">1/C29</f>
        <v>0.5</v>
      </c>
      <c r="C30" s="7" t="n">
        <v>1</v>
      </c>
      <c r="D30" s="8" t="n">
        <v>0.5</v>
      </c>
      <c r="E30" s="8" t="n">
        <v>3</v>
      </c>
      <c r="I30" s="9" t="n">
        <f aca="false">PRODUCT(B30:E30)^(1/4)</f>
        <v>0.9306048591021</v>
      </c>
      <c r="J30" s="9" t="n">
        <f aca="false">I30/SUM($I$29:$I$32)</f>
        <v>0.199097835745555</v>
      </c>
      <c r="K30" s="7" t="n">
        <f aca="false">(B30*$J$29+C30*$J$30+D30*$J$31+E30*$J$32)/J30</f>
        <v>4.03194887861128</v>
      </c>
    </row>
    <row r="31" customFormat="false" ht="19" hidden="false" customHeight="false" outlineLevel="0" collapsed="false">
      <c r="A31" s="3" t="s">
        <v>53</v>
      </c>
      <c r="B31" s="7" t="n">
        <f aca="false">1/D29</f>
        <v>1</v>
      </c>
      <c r="C31" s="7" t="n">
        <f aca="false">1/D30</f>
        <v>2</v>
      </c>
      <c r="D31" s="7" t="n">
        <v>1</v>
      </c>
      <c r="E31" s="8" t="n">
        <v>4</v>
      </c>
      <c r="I31" s="9" t="n">
        <f aca="false">PRODUCT(B31:E31)^(1/4)</f>
        <v>1.68179283050743</v>
      </c>
      <c r="J31" s="9" t="n">
        <f aca="false">I31/SUM($I$29:$I$32)</f>
        <v>0.359810406588134</v>
      </c>
      <c r="K31" s="7" t="n">
        <f aca="false">(B31*$J$29+C31*$J$30+D31*$J$31+E31*$J$32)/J31</f>
        <v>4.01028392331017</v>
      </c>
    </row>
    <row r="32" customFormat="false" ht="19" hidden="false" customHeight="false" outlineLevel="0" collapsed="false">
      <c r="A32" s="3" t="s">
        <v>54</v>
      </c>
      <c r="B32" s="7" t="n">
        <f aca="false">1/E29</f>
        <v>0.25</v>
      </c>
      <c r="C32" s="7" t="n">
        <f aca="false">1/E30</f>
        <v>0.333333333333333</v>
      </c>
      <c r="D32" s="7" t="n">
        <f aca="false">1/E31</f>
        <v>0.25</v>
      </c>
      <c r="E32" s="7" t="n">
        <v>1</v>
      </c>
      <c r="I32" s="9" t="n">
        <f aca="false">PRODUCT(B32:E32)^(1/4)</f>
        <v>0.379917842825796</v>
      </c>
      <c r="J32" s="9" t="n">
        <f aca="false">I32/SUM($I$29:$I$32)</f>
        <v>0.0812813510781777</v>
      </c>
      <c r="K32" s="7" t="n">
        <f aca="false">(B32*$J$29+C32*$J$30+D32*$J$31+E32*$J$32)/J32</f>
        <v>4.02986042032837</v>
      </c>
    </row>
    <row r="34" customFormat="false" ht="19" hidden="false" customHeight="false" outlineLevel="0" collapsed="false">
      <c r="H34" s="3" t="s">
        <v>45</v>
      </c>
      <c r="I34" s="7" t="n">
        <f aca="false">AVERAGE(K29:K32)</f>
        <v>4.02059428639</v>
      </c>
    </row>
    <row r="35" customFormat="false" ht="19" hidden="false" customHeight="false" outlineLevel="0" collapsed="false">
      <c r="H35" s="3" t="s">
        <v>46</v>
      </c>
      <c r="I35" s="7" t="n">
        <f aca="false">MAX(0,(I34-4)/(4-1))</f>
        <v>0.00686476212999843</v>
      </c>
    </row>
    <row r="36" customFormat="false" ht="19" hidden="false" customHeight="false" outlineLevel="0" collapsed="false">
      <c r="H36" s="3" t="s">
        <v>47</v>
      </c>
      <c r="I36" s="7" t="n">
        <v>0.9</v>
      </c>
    </row>
    <row r="37" customFormat="false" ht="19" hidden="false" customHeight="false" outlineLevel="0" collapsed="false">
      <c r="H37" s="3" t="s">
        <v>48</v>
      </c>
      <c r="I37" s="7" t="n">
        <f aca="false">I35/I36</f>
        <v>0.00762751347777603</v>
      </c>
      <c r="J37" s="3" t="s">
        <v>49</v>
      </c>
      <c r="K37" s="6" t="str">
        <f aca="false">IF(I37&lt;=0.1,"OK","ПРОВЕРИТЬ")</f>
        <v>OK</v>
      </c>
    </row>
    <row r="42" customFormat="false" ht="19" hidden="false" customHeight="false" outlineLevel="0" collapsed="false">
      <c r="A42" s="2" t="s">
        <v>55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27" hidden="false" customHeight="true" outlineLevel="0" collapsed="false">
      <c r="A43" s="6" t="s">
        <v>34</v>
      </c>
      <c r="B43" s="6" t="s">
        <v>51</v>
      </c>
      <c r="C43" s="6" t="s">
        <v>52</v>
      </c>
      <c r="D43" s="6" t="s">
        <v>53</v>
      </c>
      <c r="E43" s="6" t="s">
        <v>54</v>
      </c>
      <c r="I43" s="6" t="s">
        <v>42</v>
      </c>
      <c r="J43" s="6" t="s">
        <v>43</v>
      </c>
      <c r="K43" s="6" t="s">
        <v>44</v>
      </c>
    </row>
    <row r="44" customFormat="false" ht="19" hidden="false" customHeight="false" outlineLevel="0" collapsed="false">
      <c r="A44" s="3" t="s">
        <v>51</v>
      </c>
      <c r="B44" s="7" t="n">
        <v>1</v>
      </c>
      <c r="C44" s="8" t="n">
        <v>1</v>
      </c>
      <c r="D44" s="8" t="n">
        <v>1</v>
      </c>
      <c r="E44" s="8" t="n">
        <v>3</v>
      </c>
      <c r="I44" s="9" t="n">
        <f aca="false">PRODUCT(B44:E44)^(1/4)</f>
        <v>1.31607401295249</v>
      </c>
      <c r="J44" s="9" t="n">
        <f aca="false">I44/SUM($I$44:$I$47)</f>
        <v>0.3</v>
      </c>
      <c r="K44" s="7" t="n">
        <f aca="false">(B44*$J$44+C44*$J$45+D44*$J$46+E44*$J$47)/J44</f>
        <v>4</v>
      </c>
    </row>
    <row r="45" customFormat="false" ht="19" hidden="false" customHeight="false" outlineLevel="0" collapsed="false">
      <c r="A45" s="3" t="s">
        <v>52</v>
      </c>
      <c r="B45" s="7" t="n">
        <f aca="false">1/C44</f>
        <v>1</v>
      </c>
      <c r="C45" s="7" t="n">
        <v>1</v>
      </c>
      <c r="D45" s="8" t="n">
        <v>1</v>
      </c>
      <c r="E45" s="8" t="n">
        <v>3</v>
      </c>
      <c r="I45" s="9" t="n">
        <f aca="false">PRODUCT(B45:E45)^(1/4)</f>
        <v>1.31607401295249</v>
      </c>
      <c r="J45" s="9" t="n">
        <f aca="false">I45/SUM($I$44:$I$47)</f>
        <v>0.3</v>
      </c>
      <c r="K45" s="7" t="n">
        <f aca="false">(B45*$J$44+C45*$J$45+D45*$J$46+E45*$J$47)/J45</f>
        <v>4</v>
      </c>
    </row>
    <row r="46" customFormat="false" ht="19" hidden="false" customHeight="false" outlineLevel="0" collapsed="false">
      <c r="A46" s="3" t="s">
        <v>53</v>
      </c>
      <c r="B46" s="7" t="n">
        <f aca="false">1/D44</f>
        <v>1</v>
      </c>
      <c r="C46" s="7" t="n">
        <f aca="false">1/D45</f>
        <v>1</v>
      </c>
      <c r="D46" s="7" t="n">
        <v>1</v>
      </c>
      <c r="E46" s="8" t="n">
        <v>3</v>
      </c>
      <c r="I46" s="9" t="n">
        <f aca="false">PRODUCT(B46:E46)^(1/4)</f>
        <v>1.31607401295249</v>
      </c>
      <c r="J46" s="9" t="n">
        <f aca="false">I46/SUM($I$44:$I$47)</f>
        <v>0.3</v>
      </c>
      <c r="K46" s="7" t="n">
        <f aca="false">(B46*$J$44+C46*$J$45+D46*$J$46+E46*$J$47)/J46</f>
        <v>4</v>
      </c>
    </row>
    <row r="47" customFormat="false" ht="19" hidden="false" customHeight="false" outlineLevel="0" collapsed="false">
      <c r="A47" s="3" t="s">
        <v>54</v>
      </c>
      <c r="B47" s="7" t="n">
        <f aca="false">1/E44</f>
        <v>0.333333333333333</v>
      </c>
      <c r="C47" s="7" t="n">
        <f aca="false">1/E45</f>
        <v>0.333333333333333</v>
      </c>
      <c r="D47" s="7" t="n">
        <f aca="false">1/E46</f>
        <v>0.333333333333333</v>
      </c>
      <c r="E47" s="7" t="n">
        <v>1</v>
      </c>
      <c r="I47" s="9" t="n">
        <f aca="false">PRODUCT(B47:E47)^(1/4)</f>
        <v>0.438691337650831</v>
      </c>
      <c r="J47" s="9" t="n">
        <f aca="false">I47/SUM($I$44:$I$47)</f>
        <v>0.1</v>
      </c>
      <c r="K47" s="7" t="n">
        <f aca="false">(B47*$J$44+C47*$J$45+D47*$J$46+E47*$J$47)/J47</f>
        <v>4</v>
      </c>
    </row>
    <row r="49" customFormat="false" ht="19" hidden="false" customHeight="false" outlineLevel="0" collapsed="false">
      <c r="H49" s="3" t="s">
        <v>45</v>
      </c>
      <c r="I49" s="7" t="n">
        <f aca="false">AVERAGE(K44:K47)</f>
        <v>4</v>
      </c>
    </row>
    <row r="50" customFormat="false" ht="19" hidden="false" customHeight="false" outlineLevel="0" collapsed="false">
      <c r="H50" s="3" t="s">
        <v>46</v>
      </c>
      <c r="I50" s="7" t="n">
        <f aca="false">MAX(0,(I49-4)/(4-1))</f>
        <v>0</v>
      </c>
    </row>
    <row r="51" customFormat="false" ht="19" hidden="false" customHeight="false" outlineLevel="0" collapsed="false">
      <c r="H51" s="3" t="s">
        <v>47</v>
      </c>
      <c r="I51" s="7" t="n">
        <v>0.9</v>
      </c>
    </row>
    <row r="52" customFormat="false" ht="19" hidden="false" customHeight="false" outlineLevel="0" collapsed="false">
      <c r="H52" s="3" t="s">
        <v>48</v>
      </c>
      <c r="I52" s="7" t="n">
        <f aca="false">I50/I51</f>
        <v>0</v>
      </c>
      <c r="J52" s="3" t="s">
        <v>49</v>
      </c>
      <c r="K52" s="6" t="str">
        <f aca="false">IF(I52&lt;=0.1,"OK","ПРОВЕРИТЬ")</f>
        <v>OK</v>
      </c>
    </row>
    <row r="57" customFormat="false" ht="19" hidden="false" customHeight="false" outlineLevel="0" collapsed="false">
      <c r="A57" s="2" t="s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7" hidden="false" customHeight="true" outlineLevel="0" collapsed="false">
      <c r="A58" s="6" t="s">
        <v>34</v>
      </c>
      <c r="B58" s="6" t="s">
        <v>51</v>
      </c>
      <c r="C58" s="6" t="s">
        <v>52</v>
      </c>
      <c r="D58" s="6" t="s">
        <v>53</v>
      </c>
      <c r="E58" s="6" t="s">
        <v>54</v>
      </c>
      <c r="I58" s="6" t="s">
        <v>42</v>
      </c>
      <c r="J58" s="6" t="s">
        <v>43</v>
      </c>
      <c r="K58" s="6" t="s">
        <v>44</v>
      </c>
    </row>
    <row r="59" customFormat="false" ht="19" hidden="false" customHeight="false" outlineLevel="0" collapsed="false">
      <c r="A59" s="3" t="s">
        <v>51</v>
      </c>
      <c r="B59" s="7" t="n">
        <v>1</v>
      </c>
      <c r="C59" s="8" t="n">
        <v>0.333333333333333</v>
      </c>
      <c r="D59" s="8" t="n">
        <v>0.5</v>
      </c>
      <c r="E59" s="8" t="n">
        <v>2</v>
      </c>
      <c r="I59" s="9" t="n">
        <f aca="false">PRODUCT(B59:E59)^(1/4)</f>
        <v>0.759835685651593</v>
      </c>
      <c r="J59" s="9" t="n">
        <f aca="false">I59/SUM($I$59:$I$62)</f>
        <v>0.16026655545519</v>
      </c>
      <c r="K59" s="7" t="n">
        <f aca="false">(B59*$J$59+C59*$J$60+D59*$J$61+E59*$J$62)/J59</f>
        <v>4.02621606220181</v>
      </c>
    </row>
    <row r="60" customFormat="false" ht="19" hidden="false" customHeight="false" outlineLevel="0" collapsed="false">
      <c r="A60" s="3" t="s">
        <v>52</v>
      </c>
      <c r="B60" s="7" t="n">
        <f aca="false">1/C59</f>
        <v>3</v>
      </c>
      <c r="C60" s="7" t="n">
        <v>1</v>
      </c>
      <c r="D60" s="8" t="n">
        <v>2</v>
      </c>
      <c r="E60" s="8" t="n">
        <v>4</v>
      </c>
      <c r="I60" s="9" t="n">
        <f aca="false">PRODUCT(B60:E60)^(1/4)</f>
        <v>2.21336383940064</v>
      </c>
      <c r="J60" s="9" t="n">
        <f aca="false">I60/SUM($I$59:$I$62)</f>
        <v>0.466848563720221</v>
      </c>
      <c r="K60" s="7" t="n">
        <f aca="false">(B60*$J$59+C60*$J$60+D60*$J$61+E60*$J$62)/J60</f>
        <v>4.03558726788401</v>
      </c>
    </row>
    <row r="61" customFormat="false" ht="19" hidden="false" customHeight="false" outlineLevel="0" collapsed="false">
      <c r="A61" s="3" t="s">
        <v>53</v>
      </c>
      <c r="B61" s="7" t="n">
        <f aca="false">1/D59</f>
        <v>2</v>
      </c>
      <c r="C61" s="7" t="n">
        <f aca="false">1/D60</f>
        <v>0.5</v>
      </c>
      <c r="D61" s="7" t="n">
        <v>1</v>
      </c>
      <c r="E61" s="8" t="n">
        <v>3</v>
      </c>
      <c r="I61" s="9" t="n">
        <f aca="false">PRODUCT(B61:E61)^(1/4)</f>
        <v>1.31607401295249</v>
      </c>
      <c r="J61" s="9" t="n">
        <f aca="false">I61/SUM($I$59:$I$62)</f>
        <v>0.277589816802444</v>
      </c>
      <c r="K61" s="7" t="n">
        <f aca="false">(B61*$J$59+C61*$J$60+D61*$J$61+E61*$J$62)/J61</f>
        <v>4.02548052558652</v>
      </c>
    </row>
    <row r="62" customFormat="false" ht="19" hidden="false" customHeight="false" outlineLevel="0" collapsed="false">
      <c r="A62" s="3" t="s">
        <v>54</v>
      </c>
      <c r="B62" s="7" t="n">
        <f aca="false">1/E59</f>
        <v>0.5</v>
      </c>
      <c r="C62" s="7" t="n">
        <f aca="false">1/E60</f>
        <v>0.25</v>
      </c>
      <c r="D62" s="7" t="n">
        <f aca="false">1/E61</f>
        <v>0.333333333333333</v>
      </c>
      <c r="E62" s="7" t="n">
        <v>1</v>
      </c>
      <c r="I62" s="9" t="n">
        <f aca="false">PRODUCT(B62:E62)^(1/4)</f>
        <v>0.451801001804922</v>
      </c>
      <c r="J62" s="9" t="n">
        <f aca="false">I62/SUM($I$59:$I$62)</f>
        <v>0.095295064022145</v>
      </c>
      <c r="K62" s="7" t="n">
        <f aca="false">(B62*$J$59+C62*$J$60+D62*$J$61+E62*$J$62)/J62</f>
        <v>4.03662483005995</v>
      </c>
    </row>
    <row r="64" customFormat="false" ht="19" hidden="false" customHeight="false" outlineLevel="0" collapsed="false">
      <c r="H64" s="3" t="s">
        <v>45</v>
      </c>
      <c r="I64" s="7" t="n">
        <f aca="false">AVERAGE(K59:K62)</f>
        <v>4.03097717143307</v>
      </c>
    </row>
    <row r="65" customFormat="false" ht="19" hidden="false" customHeight="false" outlineLevel="0" collapsed="false">
      <c r="H65" s="3" t="s">
        <v>46</v>
      </c>
      <c r="I65" s="7" t="n">
        <f aca="false">MAX(0,(I64-4)/(4-1))</f>
        <v>0.0103257238110238</v>
      </c>
    </row>
    <row r="66" customFormat="false" ht="19" hidden="false" customHeight="false" outlineLevel="0" collapsed="false">
      <c r="H66" s="3" t="s">
        <v>47</v>
      </c>
      <c r="I66" s="7" t="n">
        <v>0.9</v>
      </c>
    </row>
    <row r="67" customFormat="false" ht="19" hidden="false" customHeight="false" outlineLevel="0" collapsed="false">
      <c r="H67" s="3" t="s">
        <v>48</v>
      </c>
      <c r="I67" s="7" t="n">
        <f aca="false">I65/I66</f>
        <v>0.0114730264566931</v>
      </c>
      <c r="J67" s="3" t="s">
        <v>49</v>
      </c>
      <c r="K67" s="6" t="str">
        <f aca="false">IF(I67&lt;=0.1,"OK","ПРОВЕРИТЬ")</f>
        <v>OK</v>
      </c>
    </row>
    <row r="72" customFormat="false" ht="19" hidden="false" customHeight="false" outlineLevel="0" collapsed="false">
      <c r="A72" s="2" t="s">
        <v>57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customFormat="false" ht="27" hidden="false" customHeight="true" outlineLevel="0" collapsed="false">
      <c r="A73" s="6" t="s">
        <v>34</v>
      </c>
      <c r="B73" s="6" t="s">
        <v>51</v>
      </c>
      <c r="C73" s="6" t="s">
        <v>52</v>
      </c>
      <c r="D73" s="6" t="s">
        <v>53</v>
      </c>
      <c r="E73" s="6" t="s">
        <v>54</v>
      </c>
      <c r="I73" s="6" t="s">
        <v>42</v>
      </c>
      <c r="J73" s="6" t="s">
        <v>43</v>
      </c>
      <c r="K73" s="6" t="s">
        <v>44</v>
      </c>
    </row>
    <row r="74" customFormat="false" ht="19" hidden="false" customHeight="false" outlineLevel="0" collapsed="false">
      <c r="A74" s="3" t="s">
        <v>51</v>
      </c>
      <c r="B74" s="7" t="n">
        <v>1</v>
      </c>
      <c r="C74" s="8" t="n">
        <v>2</v>
      </c>
      <c r="D74" s="8" t="n">
        <v>1</v>
      </c>
      <c r="E74" s="8" t="n">
        <v>2</v>
      </c>
      <c r="I74" s="9" t="n">
        <f aca="false">PRODUCT(B74:E74)^(1/4)</f>
        <v>1.4142135623731</v>
      </c>
      <c r="J74" s="9" t="n">
        <f aca="false">I74/SUM($I$74:$I$77)</f>
        <v>0.333333333333333</v>
      </c>
      <c r="K74" s="7" t="n">
        <f aca="false">(B74*$J$74+C74*$J$75+D74*$J$76+E74*$J$77)/J74</f>
        <v>4</v>
      </c>
    </row>
    <row r="75" customFormat="false" ht="19" hidden="false" customHeight="false" outlineLevel="0" collapsed="false">
      <c r="A75" s="3" t="s">
        <v>52</v>
      </c>
      <c r="B75" s="7" t="n">
        <f aca="false">1/C74</f>
        <v>0.5</v>
      </c>
      <c r="C75" s="7" t="n">
        <v>1</v>
      </c>
      <c r="D75" s="8" t="n">
        <v>0.5</v>
      </c>
      <c r="E75" s="8" t="n">
        <v>1</v>
      </c>
      <c r="I75" s="9" t="n">
        <f aca="false">PRODUCT(B75:E75)^(1/4)</f>
        <v>0.707106781186548</v>
      </c>
      <c r="J75" s="9" t="n">
        <f aca="false">I75/SUM($I$74:$I$77)</f>
        <v>0.166666666666667</v>
      </c>
      <c r="K75" s="7" t="n">
        <f aca="false">(B75*$J$74+C75*$J$75+D75*$J$76+E75*$J$77)/J75</f>
        <v>4</v>
      </c>
    </row>
    <row r="76" customFormat="false" ht="19" hidden="false" customHeight="false" outlineLevel="0" collapsed="false">
      <c r="A76" s="3" t="s">
        <v>53</v>
      </c>
      <c r="B76" s="7" t="n">
        <f aca="false">1/D74</f>
        <v>1</v>
      </c>
      <c r="C76" s="7" t="n">
        <f aca="false">1/D75</f>
        <v>2</v>
      </c>
      <c r="D76" s="7" t="n">
        <v>1</v>
      </c>
      <c r="E76" s="8" t="n">
        <v>2</v>
      </c>
      <c r="I76" s="9" t="n">
        <f aca="false">PRODUCT(B76:E76)^(1/4)</f>
        <v>1.4142135623731</v>
      </c>
      <c r="J76" s="9" t="n">
        <f aca="false">I76/SUM($I$74:$I$77)</f>
        <v>0.333333333333333</v>
      </c>
      <c r="K76" s="7" t="n">
        <f aca="false">(B76*$J$74+C76*$J$75+D76*$J$76+E76*$J$77)/J76</f>
        <v>4</v>
      </c>
    </row>
    <row r="77" customFormat="false" ht="19" hidden="false" customHeight="false" outlineLevel="0" collapsed="false">
      <c r="A77" s="3" t="s">
        <v>54</v>
      </c>
      <c r="B77" s="7" t="n">
        <f aca="false">1/E74</f>
        <v>0.5</v>
      </c>
      <c r="C77" s="7" t="n">
        <f aca="false">1/E75</f>
        <v>1</v>
      </c>
      <c r="D77" s="7" t="n">
        <f aca="false">1/E76</f>
        <v>0.5</v>
      </c>
      <c r="E77" s="7" t="n">
        <v>1</v>
      </c>
      <c r="I77" s="9" t="n">
        <f aca="false">PRODUCT(B77:E77)^(1/4)</f>
        <v>0.707106781186548</v>
      </c>
      <c r="J77" s="9" t="n">
        <f aca="false">I77/SUM($I$74:$I$77)</f>
        <v>0.166666666666667</v>
      </c>
      <c r="K77" s="7" t="n">
        <f aca="false">(B77*$J$74+C77*$J$75+D77*$J$76+E77*$J$77)/J77</f>
        <v>4</v>
      </c>
    </row>
    <row r="79" customFormat="false" ht="19" hidden="false" customHeight="false" outlineLevel="0" collapsed="false">
      <c r="H79" s="3" t="s">
        <v>45</v>
      </c>
      <c r="I79" s="7" t="n">
        <f aca="false">AVERAGE(K74:K77)</f>
        <v>4</v>
      </c>
    </row>
    <row r="80" customFormat="false" ht="19" hidden="false" customHeight="false" outlineLevel="0" collapsed="false">
      <c r="H80" s="3" t="s">
        <v>46</v>
      </c>
      <c r="I80" s="7" t="n">
        <f aca="false">MAX(0,(I79-4)/(4-1))</f>
        <v>0</v>
      </c>
    </row>
    <row r="81" customFormat="false" ht="19" hidden="false" customHeight="false" outlineLevel="0" collapsed="false">
      <c r="H81" s="3" t="s">
        <v>47</v>
      </c>
      <c r="I81" s="7" t="n">
        <v>0.9</v>
      </c>
    </row>
    <row r="82" customFormat="false" ht="19" hidden="false" customHeight="false" outlineLevel="0" collapsed="false">
      <c r="H82" s="3" t="s">
        <v>48</v>
      </c>
      <c r="I82" s="7" t="n">
        <f aca="false">I80/I81</f>
        <v>0</v>
      </c>
      <c r="J82" s="3" t="s">
        <v>49</v>
      </c>
      <c r="K82" s="6" t="str">
        <f aca="false">IF(I82&lt;=0.1,"OK","ПРОВЕРИТЬ")</f>
        <v>OK</v>
      </c>
    </row>
    <row r="87" customFormat="false" ht="19" hidden="false" customHeight="false" outlineLevel="0" collapsed="false">
      <c r="A87" s="2" t="s">
        <v>58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customFormat="false" ht="27" hidden="false" customHeight="true" outlineLevel="0" collapsed="false">
      <c r="A88" s="6" t="s">
        <v>34</v>
      </c>
      <c r="B88" s="6" t="s">
        <v>51</v>
      </c>
      <c r="C88" s="6" t="s">
        <v>52</v>
      </c>
      <c r="D88" s="6" t="s">
        <v>53</v>
      </c>
      <c r="E88" s="6" t="s">
        <v>54</v>
      </c>
      <c r="I88" s="6" t="s">
        <v>42</v>
      </c>
      <c r="J88" s="6" t="s">
        <v>43</v>
      </c>
      <c r="K88" s="6" t="s">
        <v>44</v>
      </c>
    </row>
    <row r="89" customFormat="false" ht="19" hidden="false" customHeight="false" outlineLevel="0" collapsed="false">
      <c r="A89" s="3" t="s">
        <v>51</v>
      </c>
      <c r="B89" s="7" t="n">
        <v>1</v>
      </c>
      <c r="C89" s="8" t="n">
        <v>4</v>
      </c>
      <c r="D89" s="8" t="n">
        <v>3</v>
      </c>
      <c r="E89" s="8" t="n">
        <v>1</v>
      </c>
      <c r="I89" s="9" t="n">
        <f aca="false">PRODUCT(B89:E89)^(1/4)</f>
        <v>1.8612097182042</v>
      </c>
      <c r="J89" s="9" t="n">
        <f aca="false">I89/SUM($I$89:$I$92)</f>
        <v>0.385386977646086</v>
      </c>
      <c r="K89" s="7" t="n">
        <f aca="false">(B89*$J$89+C89*$J$90+D89*$J$91+E89*$J$92)/J89</f>
        <v>4.01028392331017</v>
      </c>
    </row>
    <row r="90" customFormat="false" ht="19" hidden="false" customHeight="false" outlineLevel="0" collapsed="false">
      <c r="A90" s="3" t="s">
        <v>52</v>
      </c>
      <c r="B90" s="7" t="n">
        <f aca="false">1/C89</f>
        <v>0.25</v>
      </c>
      <c r="C90" s="7" t="n">
        <v>1</v>
      </c>
      <c r="D90" s="8" t="n">
        <v>0.5</v>
      </c>
      <c r="E90" s="8" t="n">
        <v>0.25</v>
      </c>
      <c r="I90" s="9" t="n">
        <f aca="false">PRODUCT(B90:E90)^(1/4)</f>
        <v>0.420448207626857</v>
      </c>
      <c r="J90" s="9" t="n">
        <f aca="false">I90/SUM($I$89:$I$92)</f>
        <v>0.0870591112915364</v>
      </c>
      <c r="K90" s="7" t="n">
        <f aca="false">(B90*$J$89+C90*$J$90+D90*$J$91+E90*$J$92)/J90</f>
        <v>4.02986042032837</v>
      </c>
    </row>
    <row r="91" customFormat="false" ht="19" hidden="false" customHeight="false" outlineLevel="0" collapsed="false">
      <c r="A91" s="3" t="s">
        <v>53</v>
      </c>
      <c r="B91" s="7" t="n">
        <f aca="false">1/D89</f>
        <v>0.333333333333333</v>
      </c>
      <c r="C91" s="7" t="n">
        <f aca="false">1/D90</f>
        <v>2</v>
      </c>
      <c r="D91" s="7" t="n">
        <v>1</v>
      </c>
      <c r="E91" s="8" t="n">
        <v>0.333333333333333</v>
      </c>
      <c r="I91" s="9" t="n">
        <f aca="false">PRODUCT(B91:E91)^(1/4)</f>
        <v>0.686589047969039</v>
      </c>
      <c r="J91" s="9" t="n">
        <f aca="false">I91/SUM($I$89:$I$92)</f>
        <v>0.142166933416292</v>
      </c>
      <c r="K91" s="7" t="n">
        <f aca="false">(B91*$J$89+C91*$J$90+D91*$J$91+E91*$J$92)/J91</f>
        <v>4.03194887861128</v>
      </c>
    </row>
    <row r="92" customFormat="false" ht="19" hidden="false" customHeight="false" outlineLevel="0" collapsed="false">
      <c r="A92" s="3" t="s">
        <v>54</v>
      </c>
      <c r="B92" s="7" t="n">
        <f aca="false">1/E89</f>
        <v>1</v>
      </c>
      <c r="C92" s="7" t="n">
        <f aca="false">1/E90</f>
        <v>4</v>
      </c>
      <c r="D92" s="7" t="n">
        <f aca="false">1/E91</f>
        <v>3</v>
      </c>
      <c r="E92" s="7" t="n">
        <v>1</v>
      </c>
      <c r="I92" s="9" t="n">
        <f aca="false">PRODUCT(B92:E92)^(1/4)</f>
        <v>1.8612097182042</v>
      </c>
      <c r="J92" s="9" t="n">
        <f aca="false">I92/SUM($I$89:$I$92)</f>
        <v>0.385386977646086</v>
      </c>
      <c r="K92" s="7" t="n">
        <f aca="false">(B92*$J$89+C92*$J$90+D92*$J$91+E92*$J$92)/J92</f>
        <v>4.01028392331017</v>
      </c>
    </row>
    <row r="94" customFormat="false" ht="19" hidden="false" customHeight="false" outlineLevel="0" collapsed="false">
      <c r="H94" s="3" t="s">
        <v>45</v>
      </c>
      <c r="I94" s="7" t="n">
        <f aca="false">AVERAGE(K89:K92)</f>
        <v>4.02059428638999</v>
      </c>
    </row>
    <row r="95" customFormat="false" ht="19" hidden="false" customHeight="false" outlineLevel="0" collapsed="false">
      <c r="H95" s="3" t="s">
        <v>46</v>
      </c>
      <c r="I95" s="7" t="n">
        <f aca="false">MAX(0,(I94-4)/(4-1))</f>
        <v>0.00686476212999813</v>
      </c>
    </row>
    <row r="96" customFormat="false" ht="19" hidden="false" customHeight="false" outlineLevel="0" collapsed="false">
      <c r="H96" s="3" t="s">
        <v>47</v>
      </c>
      <c r="I96" s="7" t="n">
        <v>0.9</v>
      </c>
    </row>
    <row r="97" customFormat="false" ht="19" hidden="false" customHeight="false" outlineLevel="0" collapsed="false">
      <c r="H97" s="3" t="s">
        <v>48</v>
      </c>
      <c r="I97" s="7" t="n">
        <f aca="false">I95/I96</f>
        <v>0.0076275134777757</v>
      </c>
      <c r="J97" s="3" t="s">
        <v>49</v>
      </c>
      <c r="K97" s="6" t="str">
        <f aca="false">IF(I97&lt;=0.1,"OK","ПРОВЕРИТЬ")</f>
        <v>OK</v>
      </c>
    </row>
    <row r="102" customFormat="false" ht="19" hidden="false" customHeight="false" outlineLevel="0" collapsed="false">
      <c r="A102" s="2" t="s">
        <v>59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customFormat="false" ht="27" hidden="false" customHeight="true" outlineLevel="0" collapsed="false">
      <c r="A103" s="6" t="s">
        <v>34</v>
      </c>
      <c r="B103" s="6" t="s">
        <v>51</v>
      </c>
      <c r="C103" s="6" t="s">
        <v>52</v>
      </c>
      <c r="D103" s="6" t="s">
        <v>53</v>
      </c>
      <c r="E103" s="6" t="s">
        <v>54</v>
      </c>
      <c r="I103" s="6" t="s">
        <v>42</v>
      </c>
      <c r="J103" s="6" t="s">
        <v>43</v>
      </c>
      <c r="K103" s="6" t="s">
        <v>44</v>
      </c>
    </row>
    <row r="104" customFormat="false" ht="19" hidden="false" customHeight="false" outlineLevel="0" collapsed="false">
      <c r="A104" s="3" t="s">
        <v>51</v>
      </c>
      <c r="B104" s="7" t="n">
        <v>1</v>
      </c>
      <c r="C104" s="8" t="n">
        <v>4</v>
      </c>
      <c r="D104" s="8" t="n">
        <v>3</v>
      </c>
      <c r="E104" s="8" t="n">
        <v>0.5</v>
      </c>
      <c r="I104" s="9" t="n">
        <f aca="false">PRODUCT(B104:E104)^(1/4)</f>
        <v>1.56508458007329</v>
      </c>
      <c r="J104" s="9" t="n">
        <f aca="false">I104/SUM($I$104:$I$107)</f>
        <v>0.305887898281429</v>
      </c>
      <c r="K104" s="7" t="n">
        <f aca="false">(B104*$J$104+C104*$J$105+D104*$J$106+E104*$J$107)/J104</f>
        <v>4.04443878664547</v>
      </c>
    </row>
    <row r="105" customFormat="false" ht="19" hidden="false" customHeight="false" outlineLevel="0" collapsed="false">
      <c r="A105" s="3" t="s">
        <v>52</v>
      </c>
      <c r="B105" s="7" t="n">
        <f aca="false">1/C104</f>
        <v>0.25</v>
      </c>
      <c r="C105" s="7" t="n">
        <v>1</v>
      </c>
      <c r="D105" s="8" t="n">
        <v>0.5</v>
      </c>
      <c r="E105" s="8" t="n">
        <v>0.2</v>
      </c>
      <c r="I105" s="9" t="n">
        <f aca="false">PRODUCT(B105:E105)^(1/4)</f>
        <v>0.397635364383525</v>
      </c>
      <c r="J105" s="9" t="n">
        <f aca="false">I105/SUM($I$104:$I$107)</f>
        <v>0.077715829190491</v>
      </c>
      <c r="K105" s="7" t="n">
        <f aca="false">(B105*$J$104+C105*$J$105+D105*$J$106+E105*$J$107)/J105</f>
        <v>4.05233431864472</v>
      </c>
    </row>
    <row r="106" customFormat="false" ht="19" hidden="false" customHeight="false" outlineLevel="0" collapsed="false">
      <c r="A106" s="3" t="s">
        <v>53</v>
      </c>
      <c r="B106" s="7" t="n">
        <f aca="false">1/D104</f>
        <v>0.333333333333333</v>
      </c>
      <c r="C106" s="7" t="n">
        <f aca="false">1/D105</f>
        <v>2</v>
      </c>
      <c r="D106" s="7" t="n">
        <v>1</v>
      </c>
      <c r="E106" s="8" t="n">
        <v>0.25</v>
      </c>
      <c r="I106" s="9" t="n">
        <f aca="false">PRODUCT(B106:E106)^(1/4)</f>
        <v>0.638943104246272</v>
      </c>
      <c r="J106" s="9" t="n">
        <f aca="false">I106/SUM($I$104:$I$107)</f>
        <v>0.124878211546978</v>
      </c>
      <c r="K106" s="7" t="n">
        <f aca="false">(B106*$J$104+C106*$J$105+D106*$J$106+E106*$J$107)/J106</f>
        <v>4.0451573711374</v>
      </c>
    </row>
    <row r="107" customFormat="false" ht="19" hidden="false" customHeight="false" outlineLevel="0" collapsed="false">
      <c r="A107" s="3" t="s">
        <v>54</v>
      </c>
      <c r="B107" s="7" t="n">
        <f aca="false">1/E104</f>
        <v>2</v>
      </c>
      <c r="C107" s="7" t="n">
        <f aca="false">1/E105</f>
        <v>5</v>
      </c>
      <c r="D107" s="7" t="n">
        <f aca="false">1/E106</f>
        <v>4</v>
      </c>
      <c r="E107" s="7" t="n">
        <v>1</v>
      </c>
      <c r="I107" s="9" t="n">
        <f aca="false">PRODUCT(B107:E107)^(1/4)</f>
        <v>2.51486685936587</v>
      </c>
      <c r="J107" s="9" t="n">
        <f aca="false">I107/SUM($I$104:$I$107)</f>
        <v>0.491518060981102</v>
      </c>
      <c r="K107" s="7" t="n">
        <f aca="false">(B107*$J$104+C107*$J$105+D107*$J$106+E107*$J$107)/J107</f>
        <v>4.05150086592828</v>
      </c>
    </row>
    <row r="109" customFormat="false" ht="19" hidden="false" customHeight="false" outlineLevel="0" collapsed="false">
      <c r="H109" s="3" t="s">
        <v>45</v>
      </c>
      <c r="I109" s="7" t="n">
        <f aca="false">AVERAGE(K104:K107)</f>
        <v>4.04835783558897</v>
      </c>
    </row>
    <row r="110" customFormat="false" ht="19" hidden="false" customHeight="false" outlineLevel="0" collapsed="false">
      <c r="H110" s="3" t="s">
        <v>46</v>
      </c>
      <c r="I110" s="7" t="n">
        <f aca="false">MAX(0,(I109-4)/(4-1))</f>
        <v>0.0161192785296554</v>
      </c>
    </row>
    <row r="111" customFormat="false" ht="19" hidden="false" customHeight="false" outlineLevel="0" collapsed="false">
      <c r="H111" s="3" t="s">
        <v>47</v>
      </c>
      <c r="I111" s="7" t="n">
        <v>0.9</v>
      </c>
    </row>
    <row r="112" customFormat="false" ht="19" hidden="false" customHeight="false" outlineLevel="0" collapsed="false">
      <c r="H112" s="3" t="s">
        <v>48</v>
      </c>
      <c r="I112" s="7" t="n">
        <f aca="false">I110/I111</f>
        <v>0.0179103094773949</v>
      </c>
      <c r="J112" s="3" t="s">
        <v>49</v>
      </c>
      <c r="K112" s="6" t="str">
        <f aca="false">IF(I112&lt;=0.1,"OK","ПРОВЕРИТЬ")</f>
        <v>OK</v>
      </c>
    </row>
    <row r="117" customFormat="false" ht="19" hidden="false" customHeight="false" outlineLevel="0" collapsed="false">
      <c r="A117" s="2" t="s">
        <v>60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customFormat="false" ht="27" hidden="false" customHeight="true" outlineLevel="0" collapsed="false">
      <c r="A118" s="6" t="s">
        <v>34</v>
      </c>
      <c r="B118" s="6" t="s">
        <v>51</v>
      </c>
      <c r="C118" s="6" t="s">
        <v>52</v>
      </c>
      <c r="D118" s="6" t="s">
        <v>53</v>
      </c>
      <c r="E118" s="6" t="s">
        <v>54</v>
      </c>
      <c r="I118" s="6" t="s">
        <v>42</v>
      </c>
      <c r="J118" s="6" t="s">
        <v>43</v>
      </c>
      <c r="K118" s="6" t="s">
        <v>44</v>
      </c>
    </row>
    <row r="119" customFormat="false" ht="19" hidden="false" customHeight="false" outlineLevel="0" collapsed="false">
      <c r="A119" s="3" t="s">
        <v>51</v>
      </c>
      <c r="B119" s="7" t="n">
        <v>1</v>
      </c>
      <c r="C119" s="8" t="n">
        <v>4</v>
      </c>
      <c r="D119" s="8" t="n">
        <v>3</v>
      </c>
      <c r="E119" s="8" t="n">
        <v>0.5</v>
      </c>
      <c r="I119" s="9" t="n">
        <f aca="false">PRODUCT(B119:E119)^(1/4)</f>
        <v>1.56508458007329</v>
      </c>
      <c r="J119" s="9" t="n">
        <f aca="false">I119/SUM($I$119:$I$122)</f>
        <v>0.305887898281429</v>
      </c>
      <c r="K119" s="7" t="n">
        <f aca="false">(B119*$J$119+C119*$J$120+D119*$J$121+E119*$J$122)/J119</f>
        <v>4.04443878664547</v>
      </c>
    </row>
    <row r="120" customFormat="false" ht="19" hidden="false" customHeight="false" outlineLevel="0" collapsed="false">
      <c r="A120" s="3" t="s">
        <v>52</v>
      </c>
      <c r="B120" s="7" t="n">
        <f aca="false">1/C119</f>
        <v>0.25</v>
      </c>
      <c r="C120" s="7" t="n">
        <v>1</v>
      </c>
      <c r="D120" s="8" t="n">
        <v>0.5</v>
      </c>
      <c r="E120" s="8" t="n">
        <v>0.2</v>
      </c>
      <c r="I120" s="9" t="n">
        <f aca="false">PRODUCT(B120:E120)^(1/4)</f>
        <v>0.397635364383525</v>
      </c>
      <c r="J120" s="9" t="n">
        <f aca="false">I120/SUM($I$119:$I$122)</f>
        <v>0.077715829190491</v>
      </c>
      <c r="K120" s="7" t="n">
        <f aca="false">(B120*$J$119+C120*$J$120+D120*$J$121+E120*$J$122)/J120</f>
        <v>4.05233431864472</v>
      </c>
    </row>
    <row r="121" customFormat="false" ht="19" hidden="false" customHeight="false" outlineLevel="0" collapsed="false">
      <c r="A121" s="3" t="s">
        <v>53</v>
      </c>
      <c r="B121" s="7" t="n">
        <f aca="false">1/D119</f>
        <v>0.333333333333333</v>
      </c>
      <c r="C121" s="7" t="n">
        <f aca="false">1/D120</f>
        <v>2</v>
      </c>
      <c r="D121" s="7" t="n">
        <v>1</v>
      </c>
      <c r="E121" s="8" t="n">
        <v>0.25</v>
      </c>
      <c r="I121" s="9" t="n">
        <f aca="false">PRODUCT(B121:E121)^(1/4)</f>
        <v>0.638943104246272</v>
      </c>
      <c r="J121" s="9" t="n">
        <f aca="false">I121/SUM($I$119:$I$122)</f>
        <v>0.124878211546978</v>
      </c>
      <c r="K121" s="7" t="n">
        <f aca="false">(B121*$J$119+C121*$J$120+D121*$J$121+E121*$J$122)/J121</f>
        <v>4.0451573711374</v>
      </c>
    </row>
    <row r="122" customFormat="false" ht="19" hidden="false" customHeight="false" outlineLevel="0" collapsed="false">
      <c r="A122" s="3" t="s">
        <v>54</v>
      </c>
      <c r="B122" s="7" t="n">
        <f aca="false">1/E119</f>
        <v>2</v>
      </c>
      <c r="C122" s="7" t="n">
        <f aca="false">1/E120</f>
        <v>5</v>
      </c>
      <c r="D122" s="7" t="n">
        <f aca="false">1/E121</f>
        <v>4</v>
      </c>
      <c r="E122" s="7" t="n">
        <v>1</v>
      </c>
      <c r="I122" s="9" t="n">
        <f aca="false">PRODUCT(B122:E122)^(1/4)</f>
        <v>2.51486685936587</v>
      </c>
      <c r="J122" s="9" t="n">
        <f aca="false">I122/SUM($I$119:$I$122)</f>
        <v>0.491518060981102</v>
      </c>
      <c r="K122" s="7" t="n">
        <f aca="false">(B122*$J$119+C122*$J$120+D122*$J$121+E122*$J$122)/J122</f>
        <v>4.05150086592828</v>
      </c>
    </row>
    <row r="124" customFormat="false" ht="19" hidden="false" customHeight="false" outlineLevel="0" collapsed="false">
      <c r="H124" s="3" t="s">
        <v>45</v>
      </c>
      <c r="I124" s="7" t="n">
        <f aca="false">AVERAGE(K119:K122)</f>
        <v>4.04835783558897</v>
      </c>
    </row>
    <row r="125" customFormat="false" ht="19" hidden="false" customHeight="false" outlineLevel="0" collapsed="false">
      <c r="H125" s="3" t="s">
        <v>46</v>
      </c>
      <c r="I125" s="7" t="n">
        <f aca="false">MAX(0,(I124-4)/(4-1))</f>
        <v>0.0161192785296554</v>
      </c>
    </row>
    <row r="126" customFormat="false" ht="19" hidden="false" customHeight="false" outlineLevel="0" collapsed="false">
      <c r="H126" s="3" t="s">
        <v>47</v>
      </c>
      <c r="I126" s="7" t="n">
        <v>0.9</v>
      </c>
    </row>
    <row r="127" customFormat="false" ht="19" hidden="false" customHeight="false" outlineLevel="0" collapsed="false">
      <c r="H127" s="3" t="s">
        <v>48</v>
      </c>
      <c r="I127" s="7" t="n">
        <f aca="false">I125/I126</f>
        <v>0.0179103094773949</v>
      </c>
      <c r="J127" s="3" t="s">
        <v>49</v>
      </c>
      <c r="K127" s="6" t="str">
        <f aca="false">IF(I127&lt;=0.1,"OK","ПРОВЕРИТЬ")</f>
        <v>OK</v>
      </c>
    </row>
  </sheetData>
  <mergeCells count="10">
    <mergeCell ref="A1:L1"/>
    <mergeCell ref="A2:L2"/>
    <mergeCell ref="A6:L6"/>
    <mergeCell ref="A27:L27"/>
    <mergeCell ref="A42:L42"/>
    <mergeCell ref="A57:L57"/>
    <mergeCell ref="A72:L72"/>
    <mergeCell ref="A87:L87"/>
    <mergeCell ref="A102:L102"/>
    <mergeCell ref="A117:L117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2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9" zeroHeight="false" outlineLevelRow="0" outlineLevelCol="0"/>
  <cols>
    <col collapsed="false" customWidth="true" hidden="false" outlineLevel="0" max="1" min="1" style="0" width="37"/>
    <col collapsed="false" customWidth="true" hidden="false" outlineLevel="0" max="8" min="2" style="0" width="16"/>
    <col collapsed="false" customWidth="true" hidden="false" outlineLevel="0" max="12" min="9" style="0" width="19"/>
  </cols>
  <sheetData>
    <row r="1" customFormat="false" ht="27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" hidden="false" customHeight="true" outlineLevel="0" collapsed="false">
      <c r="A2" s="5" t="s">
        <v>64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7" hidden="false" customHeight="true" outlineLevel="0" collapsed="false">
      <c r="A3" s="5" t="s">
        <v>65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7" customFormat="false" ht="27" hidden="false" customHeight="true" outlineLevel="0" collapsed="false">
      <c r="A7" s="2" t="s">
        <v>33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19" hidden="false" customHeight="false" outlineLevel="0" collapsed="false">
      <c r="A8" s="6" t="s">
        <v>34</v>
      </c>
      <c r="B8" s="6" t="s">
        <v>35</v>
      </c>
      <c r="C8" s="6" t="s">
        <v>36</v>
      </c>
      <c r="D8" s="6" t="s">
        <v>37</v>
      </c>
      <c r="E8" s="6" t="s">
        <v>38</v>
      </c>
      <c r="F8" s="6" t="s">
        <v>39</v>
      </c>
      <c r="G8" s="6" t="s">
        <v>40</v>
      </c>
      <c r="H8" s="6" t="s">
        <v>41</v>
      </c>
      <c r="I8" s="6" t="s">
        <v>42</v>
      </c>
      <c r="J8" s="6" t="s">
        <v>43</v>
      </c>
      <c r="K8" s="6" t="s">
        <v>44</v>
      </c>
    </row>
    <row r="9" customFormat="false" ht="19" hidden="false" customHeight="false" outlineLevel="0" collapsed="false">
      <c r="A9" s="3" t="s">
        <v>35</v>
      </c>
      <c r="B9" s="7" t="n">
        <f aca="false">(Редин!B8*Шатков!B8*Полищук!B8)^(1/3)</f>
        <v>1</v>
      </c>
      <c r="C9" s="7" t="n">
        <f aca="false">(Редин!C8*Шатков!C8*Полищук!C8)^(1/3)</f>
        <v>1.81712059283214</v>
      </c>
      <c r="D9" s="7" t="n">
        <f aca="false">(Редин!D8*Шатков!D8*Полищук!D8)^(1/3)</f>
        <v>2.6207413942089</v>
      </c>
      <c r="E9" s="7" t="n">
        <f aca="false">(Редин!E8*Шатков!E8*Полищук!E8)^(1/3)</f>
        <v>1.5874010519682</v>
      </c>
      <c r="F9" s="7" t="n">
        <f aca="false">(Редин!F8*Шатков!F8*Полищук!F8)^(1/3)</f>
        <v>1</v>
      </c>
      <c r="G9" s="7" t="n">
        <f aca="false">(Редин!G8*Шатков!G8*Полищук!G8)^(1/3)</f>
        <v>2.51984209978975</v>
      </c>
      <c r="H9" s="7" t="n">
        <f aca="false">(Редин!H8*Шатков!H8*Полищук!H8)^(1/3)</f>
        <v>2.88449914061482</v>
      </c>
      <c r="I9" s="9" t="n">
        <f aca="false">PRODUCT(B9:H9)^(1/7)</f>
        <v>1.77240357633753</v>
      </c>
      <c r="J9" s="9" t="n">
        <f aca="false">I9/SUM($I$9:$I$15)</f>
        <v>0.230584141422565</v>
      </c>
      <c r="K9" s="7" t="n">
        <f aca="false">(B9*$J$9+C9*$J$10+D9*$J$11+E9*$J$12+F9*$J$13+G9*$J$14+H9*$J$15)/J9</f>
        <v>7.00889769057712</v>
      </c>
    </row>
    <row r="10" customFormat="false" ht="19" hidden="false" customHeight="false" outlineLevel="0" collapsed="false">
      <c r="A10" s="3" t="s">
        <v>36</v>
      </c>
      <c r="B10" s="7" t="n">
        <f aca="false">(Редин!B9*Шатков!B9*Полищук!B9)^(1/3)</f>
        <v>0.550321208149105</v>
      </c>
      <c r="C10" s="7" t="n">
        <f aca="false">(Редин!C9*Шатков!C9*Полищук!C9)^(1/3)</f>
        <v>1</v>
      </c>
      <c r="D10" s="7" t="n">
        <f aca="false">(Редин!D9*Шатков!D9*Полищук!D9)^(1/3)</f>
        <v>1.5874010519682</v>
      </c>
      <c r="E10" s="7" t="n">
        <f aca="false">(Редин!E9*Шатков!E9*Полищук!E9)^(1/3)</f>
        <v>0.7937005259841</v>
      </c>
      <c r="F10" s="7" t="n">
        <f aca="false">(Редин!F9*Шатков!F9*Полищук!F9)^(1/3)</f>
        <v>0.550321208149105</v>
      </c>
      <c r="G10" s="7" t="n">
        <f aca="false">(Редин!G9*Шатков!G9*Полищук!G9)^(1/3)</f>
        <v>1.5874010519682</v>
      </c>
      <c r="H10" s="7" t="n">
        <f aca="false">(Редин!H9*Шатков!H9*Полищук!H9)^(1/3)</f>
        <v>1.81712059283214</v>
      </c>
      <c r="I10" s="9" t="n">
        <f aca="false">PRODUCT(B10:H10)^(1/7)</f>
        <v>1.0137934095622</v>
      </c>
      <c r="J10" s="9" t="n">
        <f aca="false">I10/SUM($I$9:$I$15)</f>
        <v>0.131891340124016</v>
      </c>
      <c r="K10" s="7" t="n">
        <f aca="false">(B10*$J$9+C10*$J$10+D10*$J$11+E10*$J$12+F10*$J$13+G10*$J$14+H10*$J$15)/J10</f>
        <v>7.0058002905391</v>
      </c>
    </row>
    <row r="11" customFormat="false" ht="19" hidden="false" customHeight="false" outlineLevel="0" collapsed="false">
      <c r="A11" s="3" t="s">
        <v>37</v>
      </c>
      <c r="B11" s="7" t="n">
        <f aca="false">(Редин!B10*Шатков!B10*Полищук!B10)^(1/3)</f>
        <v>0.381571414184444</v>
      </c>
      <c r="C11" s="7" t="n">
        <f aca="false">(Редин!C10*Шатков!C10*Полищук!C10)^(1/3)</f>
        <v>0.629960524947437</v>
      </c>
      <c r="D11" s="7" t="n">
        <f aca="false">(Редин!D10*Шатков!D10*Полищук!D10)^(1/3)</f>
        <v>1</v>
      </c>
      <c r="E11" s="7" t="n">
        <f aca="false">(Редин!E10*Шатков!E10*Полищук!E10)^(1/3)</f>
        <v>0.5</v>
      </c>
      <c r="F11" s="7" t="n">
        <f aca="false">(Редин!F10*Шатков!F10*Полищук!F10)^(1/3)</f>
        <v>0.39685026299205</v>
      </c>
      <c r="G11" s="7" t="n">
        <f aca="false">(Редин!G10*Шатков!G10*Полищук!G10)^(1/3)</f>
        <v>1</v>
      </c>
      <c r="H11" s="7" t="n">
        <f aca="false">(Редин!H10*Шатков!H10*Полищук!H10)^(1/3)</f>
        <v>1.25992104989487</v>
      </c>
      <c r="I11" s="9" t="n">
        <f aca="false">PRODUCT(B11:H11)^(1/7)</f>
        <v>0.669186275323017</v>
      </c>
      <c r="J11" s="9" t="n">
        <f aca="false">I11/SUM($I$9:$I$15)</f>
        <v>0.0870590337365336</v>
      </c>
      <c r="K11" s="7" t="n">
        <f aca="false">(B11*$J$9+C11*$J$10+D11*$J$11+E11*$J$12+F11*$J$13+G11*$J$14+H11*$J$15)/J11</f>
        <v>7.00825244269696</v>
      </c>
    </row>
    <row r="12" customFormat="false" ht="19" hidden="false" customHeight="false" outlineLevel="0" collapsed="false">
      <c r="A12" s="3" t="s">
        <v>38</v>
      </c>
      <c r="B12" s="7" t="n">
        <f aca="false">(Редин!B11*Шатков!B11*Полищук!B11)^(1/3)</f>
        <v>0.629960524947437</v>
      </c>
      <c r="C12" s="7" t="n">
        <f aca="false">(Редин!C11*Шатков!C11*Полищук!C11)^(1/3)</f>
        <v>1.25992104989487</v>
      </c>
      <c r="D12" s="7" t="n">
        <f aca="false">(Редин!D11*Шатков!D11*Полищук!D11)^(1/3)</f>
        <v>2</v>
      </c>
      <c r="E12" s="7" t="n">
        <f aca="false">(Редин!E11*Шатков!E11*Полищук!E11)^(1/3)</f>
        <v>1</v>
      </c>
      <c r="F12" s="7" t="n">
        <f aca="false">(Редин!F11*Шатков!F11*Полищук!F11)^(1/3)</f>
        <v>0.693361274350635</v>
      </c>
      <c r="G12" s="7" t="n">
        <f aca="false">(Редин!G11*Шатков!G11*Полищук!G11)^(1/3)</f>
        <v>1.81712059283214</v>
      </c>
      <c r="H12" s="7" t="n">
        <f aca="false">(Редин!H11*Шатков!H11*Полищук!H11)^(1/3)</f>
        <v>2.0800838230519</v>
      </c>
      <c r="I12" s="9" t="n">
        <f aca="false">PRODUCT(B12:H12)^(1/7)</f>
        <v>1.22586996514784</v>
      </c>
      <c r="J12" s="9" t="n">
        <f aca="false">I12/SUM($I$9:$I$15)</f>
        <v>0.159481834263402</v>
      </c>
      <c r="K12" s="7" t="n">
        <f aca="false">(B12*$J$9+C12*$J$10+D12*$J$11+E12*$J$12+F12*$J$13+G12*$J$14+H12*$J$15)/J12</f>
        <v>7.00971025685274</v>
      </c>
    </row>
    <row r="13" customFormat="false" ht="19" hidden="false" customHeight="false" outlineLevel="0" collapsed="false">
      <c r="A13" s="3" t="s">
        <v>39</v>
      </c>
      <c r="B13" s="7" t="n">
        <f aca="false">(Редин!B12*Шатков!B12*Полищук!B12)^(1/3)</f>
        <v>1</v>
      </c>
      <c r="C13" s="7" t="n">
        <f aca="false">(Редин!C12*Шатков!C12*Полищук!C12)^(1/3)</f>
        <v>1.81712059283214</v>
      </c>
      <c r="D13" s="7" t="n">
        <f aca="false">(Редин!D12*Шатков!D12*Полищук!D12)^(1/3)</f>
        <v>2.51984209978975</v>
      </c>
      <c r="E13" s="7" t="n">
        <f aca="false">(Редин!E12*Шатков!E12*Полищук!E12)^(1/3)</f>
        <v>1.44224957030741</v>
      </c>
      <c r="F13" s="7" t="n">
        <f aca="false">(Редин!F12*Шатков!F12*Полищук!F12)^(1/3)</f>
        <v>1</v>
      </c>
      <c r="G13" s="7" t="n">
        <f aca="false">(Редин!G12*Шатков!G12*Полищук!G12)^(1/3)</f>
        <v>2.6207413942089</v>
      </c>
      <c r="H13" s="7" t="n">
        <f aca="false">(Редин!H12*Шатков!H12*Полищук!H12)^(1/3)</f>
        <v>3</v>
      </c>
      <c r="I13" s="9" t="n">
        <f aca="false">PRODUCT(B13:H13)^(1/7)</f>
        <v>1.75812191897527</v>
      </c>
      <c r="J13" s="9" t="n">
        <f aca="false">I13/SUM($I$9:$I$15)</f>
        <v>0.228726142632146</v>
      </c>
      <c r="K13" s="7" t="n">
        <f aca="false">(B13*$J$9+C13*$J$10+D13*$J$11+E13*$J$12+F13*$J$13+G13*$J$14+H13*$J$15)/J13</f>
        <v>7.00252086426179</v>
      </c>
    </row>
    <row r="14" customFormat="false" ht="19" hidden="false" customHeight="false" outlineLevel="0" collapsed="false">
      <c r="A14" s="3" t="s">
        <v>40</v>
      </c>
      <c r="B14" s="7" t="n">
        <f aca="false">(Редин!B13*Шатков!B13*Полищук!B13)^(1/3)</f>
        <v>0.39685026299205</v>
      </c>
      <c r="C14" s="7" t="n">
        <f aca="false">(Редин!C13*Шатков!C13*Полищук!C13)^(1/3)</f>
        <v>0.629960524947437</v>
      </c>
      <c r="D14" s="7" t="n">
        <f aca="false">(Редин!D13*Шатков!D13*Полищук!D13)^(1/3)</f>
        <v>1</v>
      </c>
      <c r="E14" s="7" t="n">
        <f aca="false">(Редин!E13*Шатков!E13*Полищук!E13)^(1/3)</f>
        <v>0.550321208149105</v>
      </c>
      <c r="F14" s="7" t="n">
        <f aca="false">(Редин!F13*Шатков!F13*Полищук!F13)^(1/3)</f>
        <v>0.381571414184444</v>
      </c>
      <c r="G14" s="7" t="n">
        <f aca="false">(Редин!G13*Шатков!G13*Полищук!G13)^(1/3)</f>
        <v>1</v>
      </c>
      <c r="H14" s="7" t="n">
        <f aca="false">(Редин!H13*Шатков!H13*Полищук!H13)^(1/3)</f>
        <v>1.25992104989487</v>
      </c>
      <c r="I14" s="9" t="n">
        <f aca="false">PRODUCT(B14:H14)^(1/7)</f>
        <v>0.678416635691952</v>
      </c>
      <c r="J14" s="9" t="n">
        <f aca="false">I14/SUM($I$9:$I$15)</f>
        <v>0.0882598746449512</v>
      </c>
      <c r="K14" s="7" t="n">
        <f aca="false">(B14*$J$9+C14*$J$10+D14*$J$11+E14*$J$12+F14*$J$13+G14*$J$14+H14*$J$15)/J14</f>
        <v>7.00414990379588</v>
      </c>
    </row>
    <row r="15" customFormat="false" ht="19" hidden="false" customHeight="false" outlineLevel="0" collapsed="false">
      <c r="A15" s="3" t="s">
        <v>41</v>
      </c>
      <c r="B15" s="7" t="n">
        <f aca="false">(Редин!B14*Шатков!B14*Полищук!B14)^(1/3)</f>
        <v>0.346680637175317</v>
      </c>
      <c r="C15" s="7" t="n">
        <f aca="false">(Редин!C14*Шатков!C14*Полищук!C14)^(1/3)</f>
        <v>0.550321208149105</v>
      </c>
      <c r="D15" s="7" t="n">
        <f aca="false">(Редин!D14*Шатков!D14*Полищук!D14)^(1/3)</f>
        <v>0.7937005259841</v>
      </c>
      <c r="E15" s="7" t="n">
        <f aca="false">(Редин!E14*Шатков!E14*Полищук!E14)^(1/3)</f>
        <v>0.480749856769136</v>
      </c>
      <c r="F15" s="7" t="n">
        <f aca="false">(Редин!F14*Шатков!F14*Полищук!F14)^(1/3)</f>
        <v>0.333333333333333</v>
      </c>
      <c r="G15" s="7" t="n">
        <f aca="false">(Редин!G14*Шатков!G14*Полищук!G14)^(1/3)</f>
        <v>0.7937005259841</v>
      </c>
      <c r="H15" s="7" t="n">
        <f aca="false">(Редин!H14*Шатков!H14*Полищук!H14)^(1/3)</f>
        <v>1</v>
      </c>
      <c r="I15" s="9" t="n">
        <f aca="false">PRODUCT(B15:H15)^(1/7)</f>
        <v>0.568788767836338</v>
      </c>
      <c r="J15" s="9" t="n">
        <f aca="false">I15/SUM($I$9:$I$15)</f>
        <v>0.0739976331763866</v>
      </c>
      <c r="K15" s="7" t="n">
        <f aca="false">(B15*$J$9+C15*$J$10+D15*$J$11+E15*$J$12+F15*$J$13+G15*$J$14+H15*$J$15)/J15</f>
        <v>7.00810142093874</v>
      </c>
    </row>
    <row r="17" customFormat="false" ht="19" hidden="false" customHeight="false" outlineLevel="0" collapsed="false">
      <c r="H17" s="3" t="s">
        <v>45</v>
      </c>
      <c r="I17" s="7" t="n">
        <f aca="false">AVERAGE(K9:K15)</f>
        <v>7.00677612423748</v>
      </c>
    </row>
    <row r="18" customFormat="false" ht="19" hidden="false" customHeight="false" outlineLevel="0" collapsed="false">
      <c r="H18" s="3" t="s">
        <v>46</v>
      </c>
      <c r="I18" s="7" t="n">
        <f aca="false">MAX(0,(I17-7)/(7-1))</f>
        <v>0.00112935403957944</v>
      </c>
    </row>
    <row r="19" customFormat="false" ht="19" hidden="false" customHeight="false" outlineLevel="0" collapsed="false">
      <c r="H19" s="3" t="s">
        <v>47</v>
      </c>
      <c r="I19" s="7" t="n">
        <v>1.32</v>
      </c>
    </row>
    <row r="20" customFormat="false" ht="19" hidden="false" customHeight="false" outlineLevel="0" collapsed="false">
      <c r="H20" s="3" t="s">
        <v>48</v>
      </c>
      <c r="I20" s="7" t="n">
        <f aca="false">I18/I19</f>
        <v>0.000855571242105637</v>
      </c>
      <c r="J20" s="3" t="s">
        <v>49</v>
      </c>
      <c r="K20" s="6" t="str">
        <f aca="false">IF(I20&lt;=0.1,"OK","ПРОВЕРИТЬ")</f>
        <v>OK</v>
      </c>
    </row>
    <row r="28" customFormat="false" ht="27" hidden="false" customHeight="true" outlineLevel="0" collapsed="false">
      <c r="A28" s="2" t="s">
        <v>50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9" hidden="false" customHeight="false" outlineLevel="0" collapsed="false">
      <c r="A29" s="6" t="s">
        <v>34</v>
      </c>
      <c r="B29" s="6" t="s">
        <v>51</v>
      </c>
      <c r="C29" s="6" t="s">
        <v>52</v>
      </c>
      <c r="D29" s="6" t="s">
        <v>53</v>
      </c>
      <c r="E29" s="6" t="s">
        <v>54</v>
      </c>
      <c r="I29" s="6" t="s">
        <v>42</v>
      </c>
      <c r="J29" s="6" t="s">
        <v>43</v>
      </c>
      <c r="K29" s="6" t="s">
        <v>44</v>
      </c>
    </row>
    <row r="30" customFormat="false" ht="19" hidden="false" customHeight="false" outlineLevel="0" collapsed="false">
      <c r="A30" s="3" t="s">
        <v>51</v>
      </c>
      <c r="B30" s="7" t="n">
        <f aca="false">(Редин!B29*Шатков!B29*Полищук!B29)^(1/3)</f>
        <v>1</v>
      </c>
      <c r="C30" s="7" t="n">
        <f aca="false">(Редин!C29*Шатков!C29*Полищук!C29)^(1/3)</f>
        <v>1</v>
      </c>
      <c r="D30" s="7" t="n">
        <f aca="false">(Редин!D29*Шатков!D29*Полищук!D29)^(1/3)</f>
        <v>0.629960524947437</v>
      </c>
      <c r="E30" s="7" t="n">
        <f aca="false">(Редин!E29*Шатков!E29*Полищук!E29)^(1/3)</f>
        <v>2.88449914061482</v>
      </c>
      <c r="I30" s="9" t="n">
        <f aca="false">PRODUCT(B30:E30)^(1/4)</f>
        <v>1.16103667237399</v>
      </c>
      <c r="J30" s="9" t="n">
        <f aca="false">I30/SUM($I$30:$I$33)</f>
        <v>0.258272564771773</v>
      </c>
      <c r="K30" s="7" t="n">
        <f aca="false">(B30*$J$30+C30*$J$31+D30*$J$32+E30*$J$33)/J30</f>
        <v>4.00285295665655</v>
      </c>
    </row>
    <row r="31" customFormat="false" ht="19" hidden="false" customHeight="false" outlineLevel="0" collapsed="false">
      <c r="A31" s="3" t="s">
        <v>52</v>
      </c>
      <c r="B31" s="7" t="n">
        <f aca="false">(Редин!B30*Шатков!B30*Полищук!B30)^(1/3)</f>
        <v>1</v>
      </c>
      <c r="C31" s="7" t="n">
        <f aca="false">(Редин!C30*Шатков!C30*Полищук!C30)^(1/3)</f>
        <v>1</v>
      </c>
      <c r="D31" s="7" t="n">
        <f aca="false">(Редин!D30*Шатков!D30*Полищук!D30)^(1/3)</f>
        <v>0.629960524947437</v>
      </c>
      <c r="E31" s="7" t="n">
        <f aca="false">(Редин!E30*Шатков!E30*Полищук!E30)^(1/3)</f>
        <v>3</v>
      </c>
      <c r="I31" s="9" t="n">
        <f aca="false">PRODUCT(B31:E31)^(1/4)</f>
        <v>1.17248865111719</v>
      </c>
      <c r="J31" s="9" t="n">
        <f aca="false">I31/SUM($I$30:$I$33)</f>
        <v>0.260820057019084</v>
      </c>
      <c r="K31" s="7" t="n">
        <f aca="false">(B31*$J$30+C31*$J$31+D31*$J$32+E31*$J$33)/J31</f>
        <v>4.00535439350216</v>
      </c>
    </row>
    <row r="32" customFormat="false" ht="19" hidden="false" customHeight="false" outlineLevel="0" collapsed="false">
      <c r="A32" s="3" t="s">
        <v>53</v>
      </c>
      <c r="B32" s="7" t="n">
        <f aca="false">(Редин!B31*Шатков!B31*Полищук!B31)^(1/3)</f>
        <v>1.5874010519682</v>
      </c>
      <c r="C32" s="7" t="n">
        <f aca="false">(Редин!C31*Шатков!C31*Полищук!C31)^(1/3)</f>
        <v>1.5874010519682</v>
      </c>
      <c r="D32" s="7" t="n">
        <f aca="false">(Редин!D31*Шатков!D31*Полищук!D31)^(1/3)</f>
        <v>1</v>
      </c>
      <c r="E32" s="7" t="n">
        <f aca="false">(Редин!E31*Шатков!E31*Полищук!E31)^(1/3)</f>
        <v>3.63424118566428</v>
      </c>
      <c r="I32" s="9" t="n">
        <f aca="false">PRODUCT(B32:E32)^(1/4)</f>
        <v>1.73958946273131</v>
      </c>
      <c r="J32" s="9" t="n">
        <f aca="false">I32/SUM($I$30:$I$33)</f>
        <v>0.386971611560638</v>
      </c>
      <c r="K32" s="7" t="n">
        <f aca="false">(B32*$J$30+C32*$J$31+D32*$J$32+E32*$J$33)/J32</f>
        <v>4.0115733843129</v>
      </c>
    </row>
    <row r="33" customFormat="false" ht="19" hidden="false" customHeight="false" outlineLevel="0" collapsed="false">
      <c r="A33" s="3" t="s">
        <v>54</v>
      </c>
      <c r="B33" s="7" t="n">
        <f aca="false">(Редин!B32*Шатков!B32*Полищук!B32)^(1/3)</f>
        <v>0.346680637175317</v>
      </c>
      <c r="C33" s="7" t="n">
        <f aca="false">(Редин!C32*Шатков!C32*Полищук!C32)^(1/3)</f>
        <v>0.333333333333333</v>
      </c>
      <c r="D33" s="7" t="n">
        <f aca="false">(Редин!D32*Шатков!D32*Полищук!D32)^(1/3)</f>
        <v>0.275160604074552</v>
      </c>
      <c r="E33" s="7" t="n">
        <f aca="false">(Редин!E32*Шатков!E32*Полищук!E32)^(1/3)</f>
        <v>1</v>
      </c>
      <c r="I33" s="9" t="n">
        <f aca="false">PRODUCT(B33:E33)^(1/4)</f>
        <v>0.422278185152407</v>
      </c>
      <c r="J33" s="9" t="n">
        <f aca="false">I33/SUM($I$30:$I$33)</f>
        <v>0.0939357666485061</v>
      </c>
      <c r="K33" s="7" t="n">
        <f aca="false">(B33*$J$30+C33*$J$31+D33*$J$32+E33*$J$33)/J33</f>
        <v>4.01224409847908</v>
      </c>
    </row>
    <row r="35" customFormat="false" ht="19" hidden="false" customHeight="false" outlineLevel="0" collapsed="false">
      <c r="H35" s="3" t="s">
        <v>45</v>
      </c>
      <c r="I35" s="7" t="n">
        <f aca="false">AVERAGE(K30:K33)</f>
        <v>4.00800620823767</v>
      </c>
    </row>
    <row r="36" customFormat="false" ht="19" hidden="false" customHeight="false" outlineLevel="0" collapsed="false">
      <c r="H36" s="3" t="s">
        <v>46</v>
      </c>
      <c r="I36" s="7" t="n">
        <f aca="false">MAX(0,(I35-4)/(4-1))</f>
        <v>0.00266873607922413</v>
      </c>
    </row>
    <row r="37" customFormat="false" ht="19" hidden="false" customHeight="false" outlineLevel="0" collapsed="false">
      <c r="H37" s="3" t="s">
        <v>47</v>
      </c>
      <c r="I37" s="7" t="n">
        <v>0.9</v>
      </c>
    </row>
    <row r="38" customFormat="false" ht="19" hidden="false" customHeight="false" outlineLevel="0" collapsed="false">
      <c r="H38" s="3" t="s">
        <v>48</v>
      </c>
      <c r="I38" s="7" t="n">
        <f aca="false">I36/I37</f>
        <v>0.00296526231024904</v>
      </c>
      <c r="J38" s="3" t="s">
        <v>49</v>
      </c>
      <c r="K38" s="6" t="str">
        <f aca="false">IF(I38&lt;=0.1,"OK","ПРОВЕРИТЬ")</f>
        <v>OK</v>
      </c>
    </row>
    <row r="43" customFormat="false" ht="27" hidden="false" customHeight="true" outlineLevel="0" collapsed="false">
      <c r="A43" s="2" t="s">
        <v>55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19" hidden="false" customHeight="false" outlineLevel="0" collapsed="false">
      <c r="A44" s="6" t="s">
        <v>34</v>
      </c>
      <c r="B44" s="6" t="s">
        <v>51</v>
      </c>
      <c r="C44" s="6" t="s">
        <v>52</v>
      </c>
      <c r="D44" s="6" t="s">
        <v>53</v>
      </c>
      <c r="E44" s="6" t="s">
        <v>54</v>
      </c>
      <c r="I44" s="6" t="s">
        <v>42</v>
      </c>
      <c r="J44" s="6" t="s">
        <v>43</v>
      </c>
      <c r="K44" s="6" t="s">
        <v>44</v>
      </c>
    </row>
    <row r="45" customFormat="false" ht="19" hidden="false" customHeight="false" outlineLevel="0" collapsed="false">
      <c r="A45" s="3" t="s">
        <v>51</v>
      </c>
      <c r="B45" s="7" t="n">
        <f aca="false">(Редин!B44*Шатков!B44*Полищук!B44)^(1/3)</f>
        <v>1</v>
      </c>
      <c r="C45" s="7" t="n">
        <f aca="false">(Редин!C44*Шатков!C44*Полищук!C44)^(1/3)</f>
        <v>0.629960524947437</v>
      </c>
      <c r="D45" s="7" t="n">
        <f aca="false">(Редин!D44*Шатков!D44*Полищук!D44)^(1/3)</f>
        <v>0.629960524947437</v>
      </c>
      <c r="E45" s="7" t="n">
        <f aca="false">(Редин!E44*Шатков!E44*Полищук!E44)^(1/3)</f>
        <v>2.6207413942089</v>
      </c>
      <c r="I45" s="9" t="n">
        <f aca="false">PRODUCT(B45:E45)^(1/4)</f>
        <v>1.00986358055321</v>
      </c>
      <c r="J45" s="9" t="n">
        <f aca="false">I45/SUM($I$45:$I$48)</f>
        <v>0.225993113947715</v>
      </c>
      <c r="K45" s="7" t="n">
        <f aca="false">(B45*$J$45+C45*$J$46+D45*$J$47+E45*$J$48)/J45</f>
        <v>4.01021067367276</v>
      </c>
    </row>
    <row r="46" customFormat="false" ht="19" hidden="false" customHeight="false" outlineLevel="0" collapsed="false">
      <c r="A46" s="3" t="s">
        <v>52</v>
      </c>
      <c r="B46" s="7" t="n">
        <f aca="false">(Редин!B45*Шатков!B45*Полищук!B45)^(1/3)</f>
        <v>1.5874010519682</v>
      </c>
      <c r="C46" s="7" t="n">
        <f aca="false">(Редин!C45*Шатков!C45*Полищук!C45)^(1/3)</f>
        <v>1</v>
      </c>
      <c r="D46" s="7" t="n">
        <f aca="false">(Редин!D45*Шатков!D45*Полищук!D45)^(1/3)</f>
        <v>1</v>
      </c>
      <c r="E46" s="7" t="n">
        <f aca="false">(Редин!E45*Шатков!E45*Полищук!E45)^(1/3)</f>
        <v>3.30192724889463</v>
      </c>
      <c r="I46" s="9" t="n">
        <f aca="false">PRODUCT(B46:E46)^(1/4)</f>
        <v>1.5130857494229</v>
      </c>
      <c r="J46" s="9" t="n">
        <f aca="false">I46/SUM($I$45:$I$48)</f>
        <v>0.33860708195326</v>
      </c>
      <c r="K46" s="7" t="n">
        <f aca="false">(B46*$J$45+C46*$J$46+D46*$J$47+E46*$J$48)/J46</f>
        <v>4.00333740704099</v>
      </c>
    </row>
    <row r="47" customFormat="false" ht="19" hidden="false" customHeight="false" outlineLevel="0" collapsed="false">
      <c r="A47" s="3" t="s">
        <v>53</v>
      </c>
      <c r="B47" s="7" t="n">
        <f aca="false">(Редин!B46*Шатков!B46*Полищук!B46)^(1/3)</f>
        <v>1.5874010519682</v>
      </c>
      <c r="C47" s="7" t="n">
        <f aca="false">(Редин!C46*Шатков!C46*Полищук!C46)^(1/3)</f>
        <v>1</v>
      </c>
      <c r="D47" s="7" t="n">
        <f aca="false">(Редин!D46*Шатков!D46*Полищук!D46)^(1/3)</f>
        <v>1</v>
      </c>
      <c r="E47" s="7" t="n">
        <f aca="false">(Редин!E46*Шатков!E46*Полищук!E46)^(1/3)</f>
        <v>3.30192724889463</v>
      </c>
      <c r="I47" s="9" t="n">
        <f aca="false">PRODUCT(B47:E47)^(1/4)</f>
        <v>1.5130857494229</v>
      </c>
      <c r="J47" s="9" t="n">
        <f aca="false">I47/SUM($I$45:$I$48)</f>
        <v>0.33860708195326</v>
      </c>
      <c r="K47" s="7" t="n">
        <f aca="false">(B47*$J$45+C47*$J$46+D47*$J$47+E47*$J$48)/J47</f>
        <v>4.00333740704099</v>
      </c>
    </row>
    <row r="48" customFormat="false" ht="19" hidden="false" customHeight="false" outlineLevel="0" collapsed="false">
      <c r="A48" s="3" t="s">
        <v>54</v>
      </c>
      <c r="B48" s="7" t="n">
        <f aca="false">(Редин!B47*Шатков!B47*Полищук!B47)^(1/3)</f>
        <v>0.381571414184444</v>
      </c>
      <c r="C48" s="7" t="n">
        <f aca="false">(Редин!C47*Шатков!C47*Полищук!C47)^(1/3)</f>
        <v>0.30285343213869</v>
      </c>
      <c r="D48" s="7" t="n">
        <f aca="false">(Редин!D47*Шатков!D47*Полищук!D47)^(1/3)</f>
        <v>0.30285343213869</v>
      </c>
      <c r="E48" s="7" t="n">
        <f aca="false">(Редин!E47*Шатков!E47*Полищук!E47)^(1/3)</f>
        <v>1</v>
      </c>
      <c r="I48" s="9" t="n">
        <f aca="false">PRODUCT(B48:E48)^(1/4)</f>
        <v>0.432523997081737</v>
      </c>
      <c r="J48" s="9" t="n">
        <f aca="false">I48/SUM($I$45:$I$48)</f>
        <v>0.0967927221457648</v>
      </c>
      <c r="K48" s="7" t="n">
        <f aca="false">(B48*$J$45+C48*$J$46+D48*$J$47+E48*$J$48)/J48</f>
        <v>4.00982490685893</v>
      </c>
    </row>
    <row r="50" customFormat="false" ht="19" hidden="false" customHeight="false" outlineLevel="0" collapsed="false">
      <c r="H50" s="3" t="s">
        <v>45</v>
      </c>
      <c r="I50" s="7" t="n">
        <f aca="false">AVERAGE(K45:K48)</f>
        <v>4.00667759865342</v>
      </c>
    </row>
    <row r="51" customFormat="false" ht="19" hidden="false" customHeight="false" outlineLevel="0" collapsed="false">
      <c r="H51" s="3" t="s">
        <v>46</v>
      </c>
      <c r="I51" s="7" t="n">
        <f aca="false">MAX(0,(I50-4)/(4-1))</f>
        <v>0.00222586621780548</v>
      </c>
    </row>
    <row r="52" customFormat="false" ht="19" hidden="false" customHeight="false" outlineLevel="0" collapsed="false">
      <c r="H52" s="3" t="s">
        <v>47</v>
      </c>
      <c r="I52" s="7" t="n">
        <v>0.9</v>
      </c>
    </row>
    <row r="53" customFormat="false" ht="19" hidden="false" customHeight="false" outlineLevel="0" collapsed="false">
      <c r="H53" s="3" t="s">
        <v>48</v>
      </c>
      <c r="I53" s="7" t="n">
        <f aca="false">I51/I52</f>
        <v>0.00247318468645053</v>
      </c>
      <c r="J53" s="3" t="s">
        <v>49</v>
      </c>
      <c r="K53" s="6" t="str">
        <f aca="false">IF(I53&lt;=0.1,"OK","ПРОВЕРИТЬ")</f>
        <v>OK</v>
      </c>
    </row>
    <row r="58" customFormat="false" ht="27" hidden="false" customHeight="true" outlineLevel="0" collapsed="false">
      <c r="A58" s="2" t="s">
        <v>56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19" hidden="false" customHeight="false" outlineLevel="0" collapsed="false">
      <c r="A59" s="6" t="s">
        <v>34</v>
      </c>
      <c r="B59" s="6" t="s">
        <v>51</v>
      </c>
      <c r="C59" s="6" t="s">
        <v>52</v>
      </c>
      <c r="D59" s="6" t="s">
        <v>53</v>
      </c>
      <c r="E59" s="6" t="s">
        <v>54</v>
      </c>
      <c r="I59" s="6" t="s">
        <v>42</v>
      </c>
      <c r="J59" s="6" t="s">
        <v>43</v>
      </c>
      <c r="K59" s="6" t="s">
        <v>44</v>
      </c>
    </row>
    <row r="60" customFormat="false" ht="19" hidden="false" customHeight="false" outlineLevel="0" collapsed="false">
      <c r="A60" s="3" t="s">
        <v>51</v>
      </c>
      <c r="B60" s="7" t="n">
        <f aca="false">(Редин!B59*Шатков!B59*Полищук!B59)^(1/3)</f>
        <v>1</v>
      </c>
      <c r="C60" s="7" t="n">
        <f aca="false">(Редин!C59*Шатков!C59*Полищук!C59)^(1/3)</f>
        <v>0.333333333333333</v>
      </c>
      <c r="D60" s="7" t="n">
        <f aca="false">(Редин!D59*Шатков!D59*Полищук!D59)^(1/3)</f>
        <v>0.436790232368149</v>
      </c>
      <c r="E60" s="7" t="n">
        <f aca="false">(Редин!E59*Шатков!E59*Полищук!E59)^(1/3)</f>
        <v>2.28942848510666</v>
      </c>
      <c r="I60" s="9" t="n">
        <f aca="false">PRODUCT(B60:E60)^(1/4)</f>
        <v>0.759835685651593</v>
      </c>
      <c r="J60" s="9" t="n">
        <f aca="false">I60/SUM($I$60:$I$63)</f>
        <v>0.157971921218345</v>
      </c>
      <c r="K60" s="7" t="n">
        <f aca="false">(B60*$J$60+C60*$J$61+D60*$J$62+E60*$J$63)/J60</f>
        <v>4.03483248409685</v>
      </c>
    </row>
    <row r="61" customFormat="false" ht="19" hidden="false" customHeight="false" outlineLevel="0" collapsed="false">
      <c r="A61" s="3" t="s">
        <v>52</v>
      </c>
      <c r="B61" s="7" t="n">
        <f aca="false">(Редин!B60*Шатков!B60*Полищук!B60)^(1/3)</f>
        <v>3</v>
      </c>
      <c r="C61" s="7" t="n">
        <f aca="false">(Редин!C60*Шатков!C60*Полищук!C60)^(1/3)</f>
        <v>1</v>
      </c>
      <c r="D61" s="7" t="n">
        <f aca="false">(Редин!D60*Шатков!D60*Полищук!D60)^(1/3)</f>
        <v>1.5874010519682</v>
      </c>
      <c r="E61" s="7" t="n">
        <f aca="false">(Редин!E60*Шатков!E60*Полищук!E60)^(1/3)</f>
        <v>4.30886938006377</v>
      </c>
      <c r="I61" s="9" t="n">
        <f aca="false">PRODUCT(B61:E61)^(1/4)</f>
        <v>2.12834884397399</v>
      </c>
      <c r="J61" s="9" t="n">
        <f aca="false">I61/SUM($I$60:$I$63)</f>
        <v>0.44248955695874</v>
      </c>
      <c r="K61" s="7" t="n">
        <f aca="false">(B61*$J$60+C61*$J$61+D61*$J$62+E61*$J$63)/J61</f>
        <v>4.02689641914375</v>
      </c>
    </row>
    <row r="62" customFormat="false" ht="19" hidden="false" customHeight="false" outlineLevel="0" collapsed="false">
      <c r="A62" s="3" t="s">
        <v>53</v>
      </c>
      <c r="B62" s="7" t="n">
        <f aca="false">(Редин!B61*Шатков!B61*Полищук!B61)^(1/3)</f>
        <v>2.28942848510666</v>
      </c>
      <c r="C62" s="7" t="n">
        <f aca="false">(Редин!C61*Шатков!C61*Полищук!C61)^(1/3)</f>
        <v>0.629960524947437</v>
      </c>
      <c r="D62" s="7" t="n">
        <f aca="false">(Редин!D61*Шатков!D61*Полищук!D61)^(1/3)</f>
        <v>1</v>
      </c>
      <c r="E62" s="7" t="n">
        <f aca="false">(Редин!E61*Шатков!E61*Полищук!E61)^(1/3)</f>
        <v>3.63424118566428</v>
      </c>
      <c r="I62" s="9" t="n">
        <f aca="false">PRODUCT(B62:E62)^(1/4)</f>
        <v>1.5130857494229</v>
      </c>
      <c r="J62" s="9" t="n">
        <f aca="false">I62/SUM($I$60:$I$63)</f>
        <v>0.314574673601254</v>
      </c>
      <c r="K62" s="7" t="n">
        <f aca="false">(B62*$J$60+C62*$J$61+D62*$J$62+E62*$J$63)/J62</f>
        <v>4.0173932170161</v>
      </c>
    </row>
    <row r="63" customFormat="false" ht="19" hidden="false" customHeight="false" outlineLevel="0" collapsed="false">
      <c r="A63" s="3" t="s">
        <v>54</v>
      </c>
      <c r="B63" s="7" t="n">
        <f aca="false">(Редин!B62*Шатков!B62*Полищук!B62)^(1/3)</f>
        <v>0.436790232368149</v>
      </c>
      <c r="C63" s="7" t="n">
        <f aca="false">(Редин!C62*Шатков!C62*Полищук!C62)^(1/3)</f>
        <v>0.232079441680639</v>
      </c>
      <c r="D63" s="7" t="n">
        <f aca="false">(Редин!D62*Шатков!D62*Полищук!D62)^(1/3)</f>
        <v>0.275160604074552</v>
      </c>
      <c r="E63" s="7" t="n">
        <f aca="false">(Редин!E62*Шатков!E62*Полищук!E62)^(1/3)</f>
        <v>1</v>
      </c>
      <c r="I63" s="9" t="n">
        <f aca="false">PRODUCT(B63:E63)^(1/4)</f>
        <v>0.408671132003718</v>
      </c>
      <c r="J63" s="9" t="n">
        <f aca="false">I63/SUM($I$60:$I$63)</f>
        <v>0.0849638482216605</v>
      </c>
      <c r="K63" s="7" t="n">
        <f aca="false">(B63*$J$60+C63*$J$61+D63*$J$62+E63*$J$63)/J63</f>
        <v>4.03955016310031</v>
      </c>
    </row>
    <row r="65" customFormat="false" ht="19" hidden="false" customHeight="false" outlineLevel="0" collapsed="false">
      <c r="H65" s="3" t="s">
        <v>45</v>
      </c>
      <c r="I65" s="7" t="n">
        <f aca="false">AVERAGE(K60:K63)</f>
        <v>4.02966807083925</v>
      </c>
    </row>
    <row r="66" customFormat="false" ht="19" hidden="false" customHeight="false" outlineLevel="0" collapsed="false">
      <c r="H66" s="3" t="s">
        <v>46</v>
      </c>
      <c r="I66" s="7" t="n">
        <f aca="false">MAX(0,(I65-4)/(4-1))</f>
        <v>0.00988935694641787</v>
      </c>
    </row>
    <row r="67" customFormat="false" ht="19" hidden="false" customHeight="false" outlineLevel="0" collapsed="false">
      <c r="H67" s="3" t="s">
        <v>47</v>
      </c>
      <c r="I67" s="7" t="n">
        <v>0.9</v>
      </c>
    </row>
    <row r="68" customFormat="false" ht="19" hidden="false" customHeight="false" outlineLevel="0" collapsed="false">
      <c r="H68" s="3" t="s">
        <v>48</v>
      </c>
      <c r="I68" s="7" t="n">
        <f aca="false">I66/I67</f>
        <v>0.0109881743849087</v>
      </c>
      <c r="J68" s="3" t="s">
        <v>49</v>
      </c>
      <c r="K68" s="6" t="str">
        <f aca="false">IF(I68&lt;=0.1,"OK","ПРОВЕРИТЬ")</f>
        <v>OK</v>
      </c>
    </row>
    <row r="73" customFormat="false" ht="27" hidden="false" customHeight="true" outlineLevel="0" collapsed="false">
      <c r="A73" s="2" t="s">
        <v>57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customFormat="false" ht="19" hidden="false" customHeight="false" outlineLevel="0" collapsed="false">
      <c r="A74" s="6" t="s">
        <v>34</v>
      </c>
      <c r="B74" s="6" t="s">
        <v>51</v>
      </c>
      <c r="C74" s="6" t="s">
        <v>52</v>
      </c>
      <c r="D74" s="6" t="s">
        <v>53</v>
      </c>
      <c r="E74" s="6" t="s">
        <v>54</v>
      </c>
      <c r="I74" s="6" t="s">
        <v>42</v>
      </c>
      <c r="J74" s="6" t="s">
        <v>43</v>
      </c>
      <c r="K74" s="6" t="s">
        <v>44</v>
      </c>
    </row>
    <row r="75" customFormat="false" ht="19" hidden="false" customHeight="false" outlineLevel="0" collapsed="false">
      <c r="A75" s="3" t="s">
        <v>51</v>
      </c>
      <c r="B75" s="7" t="n">
        <f aca="false">(Редин!B74*Шатков!B74*Полищук!B74)^(1/3)</f>
        <v>1</v>
      </c>
      <c r="C75" s="7" t="n">
        <f aca="false">(Редин!C74*Шатков!C74*Полищук!C74)^(1/3)</f>
        <v>2.28942848510666</v>
      </c>
      <c r="D75" s="7" t="n">
        <f aca="false">(Редин!D74*Шатков!D74*Полищук!D74)^(1/3)</f>
        <v>1.5874010519682</v>
      </c>
      <c r="E75" s="7" t="n">
        <f aca="false">(Редин!E74*Шатков!E74*Полищук!E74)^(1/3)</f>
        <v>2.88449914061482</v>
      </c>
      <c r="I75" s="9" t="n">
        <f aca="false">PRODUCT(B75:E75)^(1/4)</f>
        <v>1.79937233882294</v>
      </c>
      <c r="J75" s="9" t="n">
        <f aca="false">I75/SUM($I$75:$I$78)</f>
        <v>0.409119771555943</v>
      </c>
      <c r="K75" s="7" t="n">
        <f aca="false">(B75*$J$75+C75*$J$76+D75*$J$77+E75*$J$78)/J75</f>
        <v>4.0104338401784</v>
      </c>
    </row>
    <row r="76" customFormat="false" ht="19" hidden="false" customHeight="false" outlineLevel="0" collapsed="false">
      <c r="A76" s="3" t="s">
        <v>52</v>
      </c>
      <c r="B76" s="7" t="n">
        <f aca="false">(Редин!B75*Шатков!B75*Полищук!B75)^(1/3)</f>
        <v>0.436790232368149</v>
      </c>
      <c r="C76" s="7" t="n">
        <f aca="false">(Редин!C75*Шатков!C75*Полищук!C75)^(1/3)</f>
        <v>1</v>
      </c>
      <c r="D76" s="7" t="n">
        <f aca="false">(Редин!D75*Шатков!D75*Полищук!D75)^(1/3)</f>
        <v>0.629960524947437</v>
      </c>
      <c r="E76" s="7" t="n">
        <f aca="false">(Редин!E75*Шатков!E75*Полищук!E75)^(1/3)</f>
        <v>1.5874010519682</v>
      </c>
      <c r="I76" s="9" t="n">
        <f aca="false">PRODUCT(B76:E76)^(1/4)</f>
        <v>0.81295822530027</v>
      </c>
      <c r="J76" s="9" t="n">
        <f aca="false">I76/SUM($I$75:$I$78)</f>
        <v>0.184840722647176</v>
      </c>
      <c r="K76" s="7" t="n">
        <f aca="false">(B76*$J$75+C76*$J$76+D76*$J$77+E76*$J$78)/J76</f>
        <v>4.00512903763015</v>
      </c>
    </row>
    <row r="77" customFormat="false" ht="19" hidden="false" customHeight="false" outlineLevel="0" collapsed="false">
      <c r="A77" s="3" t="s">
        <v>53</v>
      </c>
      <c r="B77" s="7" t="n">
        <f aca="false">(Редин!B76*Шатков!B76*Полищук!B76)^(1/3)</f>
        <v>0.629960524947437</v>
      </c>
      <c r="C77" s="7" t="n">
        <f aca="false">(Редин!C76*Шатков!C76*Полищук!C76)^(1/3)</f>
        <v>1.5874010519682</v>
      </c>
      <c r="D77" s="7" t="n">
        <f aca="false">(Редин!D76*Шатков!D76*Полищук!D76)^(1/3)</f>
        <v>1</v>
      </c>
      <c r="E77" s="7" t="n">
        <f aca="false">(Редин!E76*Шатков!E76*Полищук!E76)^(1/3)</f>
        <v>2.28942848510666</v>
      </c>
      <c r="I77" s="9" t="n">
        <f aca="false">PRODUCT(B77:E77)^(1/4)</f>
        <v>1.23007550557797</v>
      </c>
      <c r="J77" s="9" t="n">
        <f aca="false">I77/SUM($I$75:$I$78)</f>
        <v>0.279679863350473</v>
      </c>
      <c r="K77" s="7" t="n">
        <f aca="false">(B77*$J$75+C77*$J$76+D77*$J$77+E77*$J$78)/J77</f>
        <v>4.00499656410363</v>
      </c>
    </row>
    <row r="78" customFormat="false" ht="19" hidden="false" customHeight="false" outlineLevel="0" collapsed="false">
      <c r="A78" s="3" t="s">
        <v>54</v>
      </c>
      <c r="B78" s="7" t="n">
        <f aca="false">(Редин!B77*Шатков!B77*Полищук!B77)^(1/3)</f>
        <v>0.346680637175317</v>
      </c>
      <c r="C78" s="7" t="n">
        <f aca="false">(Редин!C77*Шатков!C77*Полищук!C77)^(1/3)</f>
        <v>0.629960524947437</v>
      </c>
      <c r="D78" s="7" t="n">
        <f aca="false">(Редин!D77*Шатков!D77*Полищук!D77)^(1/3)</f>
        <v>0.436790232368149</v>
      </c>
      <c r="E78" s="7" t="n">
        <f aca="false">(Редин!E77*Шатков!E77*Полищук!E77)^(1/3)</f>
        <v>1</v>
      </c>
      <c r="I78" s="9" t="n">
        <f aca="false">PRODUCT(B78:E78)^(1/4)</f>
        <v>0.555749345715824</v>
      </c>
      <c r="J78" s="9" t="n">
        <f aca="false">I78/SUM($I$75:$I$78)</f>
        <v>0.126359642446408</v>
      </c>
      <c r="K78" s="7" t="n">
        <f aca="false">(B78*$J$75+C78*$J$76+D78*$J$77+E78*$J$78)/J78</f>
        <v>4.01075317158651</v>
      </c>
    </row>
    <row r="80" customFormat="false" ht="19" hidden="false" customHeight="false" outlineLevel="0" collapsed="false">
      <c r="H80" s="3" t="s">
        <v>45</v>
      </c>
      <c r="I80" s="7" t="n">
        <f aca="false">AVERAGE(K75:K78)</f>
        <v>4.00782815337467</v>
      </c>
    </row>
    <row r="81" customFormat="false" ht="19" hidden="false" customHeight="false" outlineLevel="0" collapsed="false">
      <c r="H81" s="3" t="s">
        <v>46</v>
      </c>
      <c r="I81" s="7" t="n">
        <f aca="false">MAX(0,(I80-4)/(4-1))</f>
        <v>0.00260938445822371</v>
      </c>
    </row>
    <row r="82" customFormat="false" ht="19" hidden="false" customHeight="false" outlineLevel="0" collapsed="false">
      <c r="H82" s="3" t="s">
        <v>47</v>
      </c>
      <c r="I82" s="7" t="n">
        <v>0.9</v>
      </c>
    </row>
    <row r="83" customFormat="false" ht="19" hidden="false" customHeight="false" outlineLevel="0" collapsed="false">
      <c r="H83" s="3" t="s">
        <v>48</v>
      </c>
      <c r="I83" s="7" t="n">
        <f aca="false">I81/I82</f>
        <v>0.00289931606469301</v>
      </c>
      <c r="J83" s="3" t="s">
        <v>49</v>
      </c>
      <c r="K83" s="6" t="str">
        <f aca="false">IF(I83&lt;=0.1,"OK","ПРОВЕРИТЬ")</f>
        <v>OK</v>
      </c>
    </row>
    <row r="88" customFormat="false" ht="27" hidden="false" customHeight="true" outlineLevel="0" collapsed="false">
      <c r="A88" s="2" t="s">
        <v>58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customFormat="false" ht="19" hidden="false" customHeight="false" outlineLevel="0" collapsed="false">
      <c r="A89" s="6" t="s">
        <v>34</v>
      </c>
      <c r="B89" s="6" t="s">
        <v>51</v>
      </c>
      <c r="C89" s="6" t="s">
        <v>52</v>
      </c>
      <c r="D89" s="6" t="s">
        <v>53</v>
      </c>
      <c r="E89" s="6" t="s">
        <v>54</v>
      </c>
      <c r="I89" s="6" t="s">
        <v>42</v>
      </c>
      <c r="J89" s="6" t="s">
        <v>43</v>
      </c>
      <c r="K89" s="6" t="s">
        <v>44</v>
      </c>
    </row>
    <row r="90" customFormat="false" ht="19" hidden="false" customHeight="false" outlineLevel="0" collapsed="false">
      <c r="A90" s="3" t="s">
        <v>51</v>
      </c>
      <c r="B90" s="7" t="n">
        <f aca="false">(Редин!B89*Шатков!B89*Полищук!B89)^(1/3)</f>
        <v>1</v>
      </c>
      <c r="C90" s="7" t="n">
        <f aca="false">(Редин!C89*Шатков!C89*Полищук!C89)^(1/3)</f>
        <v>3.63424118566428</v>
      </c>
      <c r="D90" s="7" t="n">
        <f aca="false">(Редин!D89*Шатков!D89*Полищук!D89)^(1/3)</f>
        <v>3</v>
      </c>
      <c r="E90" s="7" t="n">
        <f aca="false">(Редин!E89*Шатков!E89*Полищук!E89)^(1/3)</f>
        <v>0.550321208149105</v>
      </c>
      <c r="I90" s="9" t="n">
        <f aca="false">PRODUCT(B90:E90)^(1/4)</f>
        <v>1.56508458007329</v>
      </c>
      <c r="J90" s="9" t="n">
        <f aca="false">I90/SUM($I$90:$I$93)</f>
        <v>0.312922528957224</v>
      </c>
      <c r="K90" s="7" t="n">
        <f aca="false">(B90*$J$90+C90*$J$91+D90*$J$92+E90*$J$93)/J90</f>
        <v>4.02652875351907</v>
      </c>
    </row>
    <row r="91" customFormat="false" ht="19" hidden="false" customHeight="false" outlineLevel="0" collapsed="false">
      <c r="A91" s="3" t="s">
        <v>52</v>
      </c>
      <c r="B91" s="7" t="n">
        <f aca="false">(Редин!B90*Шатков!B90*Полищук!B90)^(1/3)</f>
        <v>0.275160604074552</v>
      </c>
      <c r="C91" s="7" t="n">
        <f aca="false">(Редин!C90*Шатков!C90*Полищук!C90)^(1/3)</f>
        <v>1</v>
      </c>
      <c r="D91" s="7" t="n">
        <f aca="false">(Редин!D90*Шатков!D90*Полищук!D90)^(1/3)</f>
        <v>0.629960524947437</v>
      </c>
      <c r="E91" s="7" t="n">
        <f aca="false">(Редин!E90*Шатков!E90*Полищук!E90)^(1/3)</f>
        <v>0.218395116184075</v>
      </c>
      <c r="I91" s="9" t="n">
        <f aca="false">PRODUCT(B91:E91)^(1/4)</f>
        <v>0.441098548009969</v>
      </c>
      <c r="J91" s="9" t="n">
        <f aca="false">I91/SUM($I$90:$I$93)</f>
        <v>0.0881931078486348</v>
      </c>
      <c r="K91" s="7" t="n">
        <f aca="false">(B91*$J$90+C91*$J$91+D91*$J$92+E91*$J$93)/J91</f>
        <v>4.02508401744692</v>
      </c>
    </row>
    <row r="92" customFormat="false" ht="19" hidden="false" customHeight="false" outlineLevel="0" collapsed="false">
      <c r="A92" s="3" t="s">
        <v>53</v>
      </c>
      <c r="B92" s="7" t="n">
        <f aca="false">(Редин!B91*Шатков!B91*Полищук!B91)^(1/3)</f>
        <v>0.333333333333333</v>
      </c>
      <c r="C92" s="7" t="n">
        <f aca="false">(Редин!C91*Шатков!C91*Полищук!C91)^(1/3)</f>
        <v>1.5874010519682</v>
      </c>
      <c r="D92" s="7" t="n">
        <f aca="false">(Редин!D91*Шатков!D91*Полищук!D91)^(1/3)</f>
        <v>1</v>
      </c>
      <c r="E92" s="7" t="n">
        <f aca="false">(Редин!E91*Шатков!E91*Полищук!E91)^(1/3)</f>
        <v>0.255436477464518</v>
      </c>
      <c r="I92" s="9" t="n">
        <f aca="false">PRODUCT(B92:E92)^(1/4)</f>
        <v>0.606334222748131</v>
      </c>
      <c r="J92" s="9" t="n">
        <f aca="false">I92/SUM($I$90:$I$93)</f>
        <v>0.121230277769891</v>
      </c>
      <c r="K92" s="7" t="n">
        <f aca="false">(B92*$J$90+C92*$J$91+D92*$J$92+E92*$J$93)/J92</f>
        <v>4.02165123757525</v>
      </c>
    </row>
    <row r="93" customFormat="false" ht="19" hidden="false" customHeight="false" outlineLevel="0" collapsed="false">
      <c r="A93" s="3" t="s">
        <v>54</v>
      </c>
      <c r="B93" s="7" t="n">
        <f aca="false">(Редин!B92*Шатков!B92*Полищук!B92)^(1/3)</f>
        <v>1.81712059283214</v>
      </c>
      <c r="C93" s="7" t="n">
        <f aca="false">(Редин!C92*Шатков!C92*Полищук!C92)^(1/3)</f>
        <v>4.57885697021333</v>
      </c>
      <c r="D93" s="7" t="n">
        <f aca="false">(Редин!D92*Шатков!D92*Полищук!D92)^(1/3)</f>
        <v>3.91486764116886</v>
      </c>
      <c r="E93" s="7" t="n">
        <f aca="false">(Редин!E92*Шатков!E92*Полищук!E92)^(1/3)</f>
        <v>1</v>
      </c>
      <c r="I93" s="9" t="n">
        <f aca="false">PRODUCT(B93:E93)^(1/4)</f>
        <v>2.38899080292393</v>
      </c>
      <c r="J93" s="9" t="n">
        <f aca="false">I93/SUM($I$90:$I$93)</f>
        <v>0.477654085424251</v>
      </c>
      <c r="K93" s="7" t="n">
        <f aca="false">(B93*$J$90+C93*$J$91+D93*$J$92+E93*$J$93)/J93</f>
        <v>4.02947704972058</v>
      </c>
    </row>
    <row r="95" customFormat="false" ht="19" hidden="false" customHeight="false" outlineLevel="0" collapsed="false">
      <c r="H95" s="3" t="s">
        <v>45</v>
      </c>
      <c r="I95" s="7" t="n">
        <f aca="false">AVERAGE(K90:K93)</f>
        <v>4.02568526456545</v>
      </c>
    </row>
    <row r="96" customFormat="false" ht="19" hidden="false" customHeight="false" outlineLevel="0" collapsed="false">
      <c r="H96" s="3" t="s">
        <v>46</v>
      </c>
      <c r="I96" s="7" t="n">
        <f aca="false">MAX(0,(I95-4)/(4-1))</f>
        <v>0.00856175485515109</v>
      </c>
    </row>
    <row r="97" customFormat="false" ht="19" hidden="false" customHeight="false" outlineLevel="0" collapsed="false">
      <c r="H97" s="3" t="s">
        <v>47</v>
      </c>
      <c r="I97" s="7" t="n">
        <v>0.9</v>
      </c>
    </row>
    <row r="98" customFormat="false" ht="19" hidden="false" customHeight="false" outlineLevel="0" collapsed="false">
      <c r="H98" s="3" t="s">
        <v>48</v>
      </c>
      <c r="I98" s="7" t="n">
        <f aca="false">I96/I97</f>
        <v>0.00951306095016788</v>
      </c>
      <c r="J98" s="3" t="s">
        <v>49</v>
      </c>
      <c r="K98" s="6" t="str">
        <f aca="false">IF(I98&lt;=0.1,"OK","ПРОВЕРИТЬ")</f>
        <v>OK</v>
      </c>
    </row>
    <row r="103" customFormat="false" ht="27" hidden="false" customHeight="true" outlineLevel="0" collapsed="false">
      <c r="A103" s="2" t="s">
        <v>59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customFormat="false" ht="19" hidden="false" customHeight="false" outlineLevel="0" collapsed="false">
      <c r="A104" s="6" t="s">
        <v>34</v>
      </c>
      <c r="B104" s="6" t="s">
        <v>51</v>
      </c>
      <c r="C104" s="6" t="s">
        <v>52</v>
      </c>
      <c r="D104" s="6" t="s">
        <v>53</v>
      </c>
      <c r="E104" s="6" t="s">
        <v>54</v>
      </c>
      <c r="I104" s="6" t="s">
        <v>42</v>
      </c>
      <c r="J104" s="6" t="s">
        <v>43</v>
      </c>
      <c r="K104" s="6" t="s">
        <v>44</v>
      </c>
    </row>
    <row r="105" customFormat="false" ht="19" hidden="false" customHeight="false" outlineLevel="0" collapsed="false">
      <c r="A105" s="3" t="s">
        <v>51</v>
      </c>
      <c r="B105" s="7" t="n">
        <f aca="false">(Редин!B104*Шатков!B104*Полищук!B104)^(1/3)</f>
        <v>1</v>
      </c>
      <c r="C105" s="7" t="n">
        <f aca="false">(Редин!C104*Шатков!C104*Полищук!C104)^(1/3)</f>
        <v>4.30886938006377</v>
      </c>
      <c r="D105" s="7" t="n">
        <f aca="false">(Редин!D104*Шатков!D104*Полищук!D104)^(1/3)</f>
        <v>3.30192724889463</v>
      </c>
      <c r="E105" s="7" t="n">
        <f aca="false">(Редин!E104*Шатков!E104*Полищук!E104)^(1/3)</f>
        <v>0.5</v>
      </c>
      <c r="I105" s="9" t="n">
        <f aca="false">PRODUCT(B105:E105)^(1/4)</f>
        <v>1.63314674029617</v>
      </c>
      <c r="J105" s="9" t="n">
        <f aca="false">I105/SUM($I$105:$I$108)</f>
        <v>0.312194785958997</v>
      </c>
      <c r="K105" s="7" t="n">
        <f aca="false">(B105*$J$105+C105*$J$106+D105*$J$107+E105*$J$108)/J105</f>
        <v>4.04865396452309</v>
      </c>
    </row>
    <row r="106" customFormat="false" ht="19" hidden="false" customHeight="false" outlineLevel="0" collapsed="false">
      <c r="A106" s="3" t="s">
        <v>52</v>
      </c>
      <c r="B106" s="7" t="n">
        <f aca="false">(Редин!B105*Шатков!B105*Полищук!B105)^(1/3)</f>
        <v>0.232079441680639</v>
      </c>
      <c r="C106" s="7" t="n">
        <f aca="false">(Редин!C105*Шатков!C105*Полищук!C105)^(1/3)</f>
        <v>1</v>
      </c>
      <c r="D106" s="7" t="n">
        <f aca="false">(Редин!D105*Шатков!D105*Полищук!D105)^(1/3)</f>
        <v>0.5</v>
      </c>
      <c r="E106" s="7" t="n">
        <f aca="false">(Редин!E105*Шатков!E105*Полищук!E105)^(1/3)</f>
        <v>0.188207205776206</v>
      </c>
      <c r="I106" s="9" t="n">
        <f aca="false">PRODUCT(B106:E106)^(1/4)</f>
        <v>0.384424210023922</v>
      </c>
      <c r="J106" s="9" t="n">
        <f aca="false">I106/SUM($I$105:$I$108)</f>
        <v>0.0734871098870824</v>
      </c>
      <c r="K106" s="7" t="n">
        <f aca="false">(B106*$J$105+C106*$J$106+D106*$J$107+E106*$J$108)/J106</f>
        <v>4.05589310287274</v>
      </c>
    </row>
    <row r="107" customFormat="false" ht="19" hidden="false" customHeight="false" outlineLevel="0" collapsed="false">
      <c r="A107" s="3" t="s">
        <v>53</v>
      </c>
      <c r="B107" s="7" t="n">
        <f aca="false">(Редин!B106*Шатков!B106*Полищук!B106)^(1/3)</f>
        <v>0.30285343213869</v>
      </c>
      <c r="C107" s="7" t="n">
        <f aca="false">(Редин!C106*Шатков!C106*Полищук!C106)^(1/3)</f>
        <v>2</v>
      </c>
      <c r="D107" s="7" t="n">
        <f aca="false">(Редин!D106*Шатков!D106*Полищук!D106)^(1/3)</f>
        <v>1</v>
      </c>
      <c r="E107" s="7" t="n">
        <f aca="false">(Редин!E106*Шатков!E106*Полищук!E106)^(1/3)</f>
        <v>0.232079441680639</v>
      </c>
      <c r="I107" s="9" t="n">
        <f aca="false">PRODUCT(B107:E107)^(1/4)</f>
        <v>0.612314849196376</v>
      </c>
      <c r="J107" s="9" t="n">
        <f aca="false">I107/SUM($I$105:$I$108)</f>
        <v>0.117051027055726</v>
      </c>
      <c r="K107" s="7" t="n">
        <f aca="false">(B107*$J$105+C107*$J$106+D107*$J$107+E107*$J$108)/J107</f>
        <v>4.04934486091125</v>
      </c>
    </row>
    <row r="108" customFormat="false" ht="19" hidden="false" customHeight="false" outlineLevel="0" collapsed="false">
      <c r="A108" s="3" t="s">
        <v>54</v>
      </c>
      <c r="B108" s="7" t="n">
        <f aca="false">(Редин!B107*Шатков!B107*Полищук!B107)^(1/3)</f>
        <v>2</v>
      </c>
      <c r="C108" s="7" t="n">
        <f aca="false">(Редин!C107*Шатков!C107*Полищук!C107)^(1/3)</f>
        <v>5.31329284591306</v>
      </c>
      <c r="D108" s="7" t="n">
        <f aca="false">(Редин!D107*Шатков!D107*Полищук!D107)^(1/3)</f>
        <v>4.30886938006377</v>
      </c>
      <c r="E108" s="7" t="n">
        <f aca="false">(Редин!E107*Шатков!E107*Полищук!E107)^(1/3)</f>
        <v>1</v>
      </c>
      <c r="I108" s="9" t="n">
        <f aca="false">PRODUCT(B108:E108)^(1/4)</f>
        <v>2.60129298292054</v>
      </c>
      <c r="J108" s="9" t="n">
        <f aca="false">I108/SUM($I$105:$I$108)</f>
        <v>0.497267077098194</v>
      </c>
      <c r="K108" s="7" t="n">
        <f aca="false">(B108*$J$105+C108*$J$106+D108*$J$107+E108*$J$108)/J108</f>
        <v>4.05511014804886</v>
      </c>
    </row>
    <row r="110" customFormat="false" ht="19" hidden="false" customHeight="false" outlineLevel="0" collapsed="false">
      <c r="H110" s="3" t="s">
        <v>45</v>
      </c>
      <c r="I110" s="7" t="n">
        <f aca="false">AVERAGE(K105:K108)</f>
        <v>4.05225051908899</v>
      </c>
    </row>
    <row r="111" customFormat="false" ht="19" hidden="false" customHeight="false" outlineLevel="0" collapsed="false">
      <c r="H111" s="3" t="s">
        <v>46</v>
      </c>
      <c r="I111" s="7" t="n">
        <f aca="false">MAX(0,(I110-4)/(4-1))</f>
        <v>0.0174168396963283</v>
      </c>
    </row>
    <row r="112" customFormat="false" ht="19" hidden="false" customHeight="false" outlineLevel="0" collapsed="false">
      <c r="H112" s="3" t="s">
        <v>47</v>
      </c>
      <c r="I112" s="7" t="n">
        <v>0.9</v>
      </c>
    </row>
    <row r="113" customFormat="false" ht="19" hidden="false" customHeight="false" outlineLevel="0" collapsed="false">
      <c r="H113" s="3" t="s">
        <v>48</v>
      </c>
      <c r="I113" s="7" t="n">
        <f aca="false">I111/I112</f>
        <v>0.0193520441070315</v>
      </c>
      <c r="J113" s="3" t="s">
        <v>49</v>
      </c>
      <c r="K113" s="6" t="str">
        <f aca="false">IF(I113&lt;=0.1,"OK","ПРОВЕРИТЬ")</f>
        <v>OK</v>
      </c>
    </row>
    <row r="118" customFormat="false" ht="27" hidden="false" customHeight="true" outlineLevel="0" collapsed="false">
      <c r="A118" s="2" t="s">
        <v>60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customFormat="false" ht="19" hidden="false" customHeight="false" outlineLevel="0" collapsed="false">
      <c r="A119" s="6" t="s">
        <v>34</v>
      </c>
      <c r="B119" s="6" t="s">
        <v>51</v>
      </c>
      <c r="C119" s="6" t="s">
        <v>52</v>
      </c>
      <c r="D119" s="6" t="s">
        <v>53</v>
      </c>
      <c r="E119" s="6" t="s">
        <v>54</v>
      </c>
      <c r="I119" s="6" t="s">
        <v>42</v>
      </c>
      <c r="J119" s="6" t="s">
        <v>43</v>
      </c>
      <c r="K119" s="6" t="s">
        <v>44</v>
      </c>
    </row>
    <row r="120" customFormat="false" ht="19" hidden="false" customHeight="false" outlineLevel="0" collapsed="false">
      <c r="A120" s="3" t="s">
        <v>51</v>
      </c>
      <c r="B120" s="7" t="n">
        <f aca="false">(Редин!B119*Шатков!B119*Полищук!B119)^(1/3)</f>
        <v>1</v>
      </c>
      <c r="C120" s="7" t="n">
        <f aca="false">(Редин!C119*Шатков!C119*Полищук!C119)^(1/3)</f>
        <v>4.30886938006377</v>
      </c>
      <c r="D120" s="7" t="n">
        <f aca="false">(Редин!D119*Шатков!D119*Полищук!D119)^(1/3)</f>
        <v>3.63424118566428</v>
      </c>
      <c r="E120" s="7" t="n">
        <f aca="false">(Редин!E119*Шатков!E119*Полищук!E119)^(1/3)</f>
        <v>0.5</v>
      </c>
      <c r="I120" s="9" t="n">
        <f aca="false">PRODUCT(B120:E120)^(1/4)</f>
        <v>1.67277207483253</v>
      </c>
      <c r="J120" s="9" t="n">
        <f aca="false">I120/SUM($I$120:$I$123)</f>
        <v>0.31657098776582</v>
      </c>
      <c r="K120" s="7" t="n">
        <f aca="false">(B120*$J$120+C120*$J$121+D120*$J$122+E120*$J$123)/J120</f>
        <v>4.04456129350176</v>
      </c>
    </row>
    <row r="121" customFormat="false" ht="19" hidden="false" customHeight="false" outlineLevel="0" collapsed="false">
      <c r="A121" s="3" t="s">
        <v>52</v>
      </c>
      <c r="B121" s="7" t="n">
        <f aca="false">(Редин!B120*Шатков!B120*Полищук!B120)^(1/3)</f>
        <v>0.232079441680639</v>
      </c>
      <c r="C121" s="7" t="n">
        <f aca="false">(Редин!C120*Шатков!C120*Полищук!C120)^(1/3)</f>
        <v>1</v>
      </c>
      <c r="D121" s="7" t="n">
        <f aca="false">(Редин!D120*Шатков!D120*Полищук!D120)^(1/3)</f>
        <v>0.629960524947437</v>
      </c>
      <c r="E121" s="7" t="n">
        <f aca="false">(Редин!E120*Шатков!E120*Полищук!E120)^(1/3)</f>
        <v>0.188207205776206</v>
      </c>
      <c r="I121" s="9" t="n">
        <f aca="false">PRODUCT(B121:E121)^(1/4)</f>
        <v>0.407283263098572</v>
      </c>
      <c r="J121" s="9" t="n">
        <f aca="false">I121/SUM($I$120:$I$123)</f>
        <v>0.0770780830451809</v>
      </c>
      <c r="K121" s="7" t="n">
        <f aca="false">(B121*$J$120+C121*$J$121+D121*$J$122+E121*$J$123)/J121</f>
        <v>4.03449341440102</v>
      </c>
    </row>
    <row r="122" customFormat="false" ht="19" hidden="false" customHeight="false" outlineLevel="0" collapsed="false">
      <c r="A122" s="3" t="s">
        <v>53</v>
      </c>
      <c r="B122" s="7" t="n">
        <f aca="false">(Редин!B121*Шатков!B121*Полищук!B121)^(1/3)</f>
        <v>0.275160604074552</v>
      </c>
      <c r="C122" s="7" t="n">
        <f aca="false">(Редин!C121*Шатков!C121*Полищук!C121)^(1/3)</f>
        <v>1.5874010519682</v>
      </c>
      <c r="D122" s="7" t="n">
        <f aca="false">(Редин!D121*Шатков!D121*Полищук!D121)^(1/3)</f>
        <v>1</v>
      </c>
      <c r="E122" s="7" t="n">
        <f aca="false">(Редин!E121*Шатков!E121*Полищук!E121)^(1/3)</f>
        <v>0.215443469003188</v>
      </c>
      <c r="I122" s="9" t="n">
        <f aca="false">PRODUCT(B122:E122)^(1/4)</f>
        <v>0.553861991372509</v>
      </c>
      <c r="J122" s="9" t="n">
        <f aca="false">I122/SUM($I$120:$I$123)</f>
        <v>0.10481800858153</v>
      </c>
      <c r="K122" s="7" t="n">
        <f aca="false">(B122*$J$120+C122*$J$121+D122*$J$122+E122*$J$123)/J122</f>
        <v>4.02919022091264</v>
      </c>
    </row>
    <row r="123" customFormat="false" ht="19" hidden="false" customHeight="false" outlineLevel="0" collapsed="false">
      <c r="A123" s="3" t="s">
        <v>54</v>
      </c>
      <c r="B123" s="7" t="n">
        <f aca="false">(Редин!B122*Шатков!B122*Полищук!B122)^(1/3)</f>
        <v>2</v>
      </c>
      <c r="C123" s="7" t="n">
        <f aca="false">(Редин!C122*Шатков!C122*Полищук!C122)^(1/3)</f>
        <v>5.31329284591306</v>
      </c>
      <c r="D123" s="7" t="n">
        <f aca="false">(Редин!D122*Шатков!D122*Полищук!D122)^(1/3)</f>
        <v>4.64158883361278</v>
      </c>
      <c r="E123" s="7" t="n">
        <f aca="false">(Редин!E122*Шатков!E122*Полищук!E122)^(1/3)</f>
        <v>1</v>
      </c>
      <c r="I123" s="9" t="n">
        <f aca="false">PRODUCT(B123:E123)^(1/4)</f>
        <v>2.65011734057569</v>
      </c>
      <c r="J123" s="9" t="n">
        <f aca="false">I123/SUM($I$120:$I$123)</f>
        <v>0.501532920607469</v>
      </c>
      <c r="K123" s="7" t="n">
        <f aca="false">(B123*$J$120+C123*$J$121+D123*$J$122+E123*$J$123)/J123</f>
        <v>4.04905707703822</v>
      </c>
    </row>
    <row r="125" customFormat="false" ht="19" hidden="false" customHeight="false" outlineLevel="0" collapsed="false">
      <c r="H125" s="3" t="s">
        <v>45</v>
      </c>
      <c r="I125" s="7" t="n">
        <f aca="false">AVERAGE(K120:K123)</f>
        <v>4.03932550146341</v>
      </c>
    </row>
    <row r="126" customFormat="false" ht="19" hidden="false" customHeight="false" outlineLevel="0" collapsed="false">
      <c r="H126" s="3" t="s">
        <v>46</v>
      </c>
      <c r="I126" s="7" t="n">
        <f aca="false">MAX(0,(I125-4)/(4-1))</f>
        <v>0.0131085004878031</v>
      </c>
    </row>
    <row r="127" customFormat="false" ht="19" hidden="false" customHeight="false" outlineLevel="0" collapsed="false">
      <c r="H127" s="3" t="s">
        <v>47</v>
      </c>
      <c r="I127" s="7" t="n">
        <v>0.9</v>
      </c>
    </row>
    <row r="128" customFormat="false" ht="19" hidden="false" customHeight="false" outlineLevel="0" collapsed="false">
      <c r="H128" s="3" t="s">
        <v>48</v>
      </c>
      <c r="I128" s="7" t="n">
        <f aca="false">I126/I127</f>
        <v>0.0145650005420034</v>
      </c>
      <c r="J128" s="3" t="s">
        <v>49</v>
      </c>
      <c r="K128" s="6" t="str">
        <f aca="false">IF(I128&lt;=0.1,"OK","ПРОВЕРИТЬ")</f>
        <v>OK</v>
      </c>
    </row>
  </sheetData>
  <mergeCells count="11">
    <mergeCell ref="A1:L1"/>
    <mergeCell ref="A2:L2"/>
    <mergeCell ref="A3:L3"/>
    <mergeCell ref="A7:L7"/>
    <mergeCell ref="A28:L28"/>
    <mergeCell ref="A43:L43"/>
    <mergeCell ref="A58:L58"/>
    <mergeCell ref="A73:L73"/>
    <mergeCell ref="A88:L88"/>
    <mergeCell ref="A103:L103"/>
    <mergeCell ref="A118:L11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45" activeCellId="0" sqref="A45"/>
    </sheetView>
  </sheetViews>
  <sheetFormatPr defaultColWidth="8.6796875" defaultRowHeight="19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6"/>
    <col collapsed="false" customWidth="true" hidden="false" outlineLevel="0" max="12" min="9" style="0" width="19"/>
  </cols>
  <sheetData>
    <row r="1" customFormat="false" ht="27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" hidden="false" customHeight="true" outlineLevel="0" collapsed="false"/>
    <row r="3" customFormat="false" ht="19" hidden="false" customHeight="false" outlineLevel="0" collapsed="false">
      <c r="A3" s="2" t="s">
        <v>67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7" hidden="false" customHeight="true" outlineLevel="0" collapsed="false">
      <c r="A4" s="6" t="s">
        <v>68</v>
      </c>
      <c r="B4" s="6" t="s">
        <v>69</v>
      </c>
      <c r="C4" s="6" t="s">
        <v>70</v>
      </c>
      <c r="D4" s="6" t="s">
        <v>71</v>
      </c>
      <c r="E4" s="6" t="s">
        <v>72</v>
      </c>
      <c r="F4" s="6" t="s">
        <v>73</v>
      </c>
      <c r="G4" s="6" t="s">
        <v>74</v>
      </c>
    </row>
    <row r="5" customFormat="false" ht="19" hidden="false" customHeight="false" outlineLevel="0" collapsed="false">
      <c r="A5" s="3" t="s">
        <v>75</v>
      </c>
      <c r="B5" s="9" t="n">
        <f aca="false">Коллективный!J9</f>
        <v>0.230584141422565</v>
      </c>
      <c r="C5" s="9" t="n">
        <f aca="false">Коллективный!J30</f>
        <v>0.258272564771773</v>
      </c>
      <c r="D5" s="9" t="n">
        <f aca="false">Коллективный!J31</f>
        <v>0.260820057019084</v>
      </c>
      <c r="E5" s="9" t="n">
        <f aca="false">Коллективный!J32</f>
        <v>0.386971611560638</v>
      </c>
      <c r="F5" s="9" t="n">
        <f aca="false">Коллективный!J33</f>
        <v>0.0939357666485061</v>
      </c>
      <c r="G5" s="7" t="n">
        <f aca="false">SUM(C5:F5)</f>
        <v>1</v>
      </c>
    </row>
    <row r="6" customFormat="false" ht="19" hidden="false" customHeight="false" outlineLevel="0" collapsed="false">
      <c r="A6" s="3" t="s">
        <v>76</v>
      </c>
      <c r="B6" s="9" t="n">
        <f aca="false">Коллективный!J10</f>
        <v>0.131891340124016</v>
      </c>
      <c r="C6" s="9" t="n">
        <f aca="false">Коллективный!J45</f>
        <v>0.225993113947715</v>
      </c>
      <c r="D6" s="9" t="n">
        <f aca="false">Коллективный!J46</f>
        <v>0.33860708195326</v>
      </c>
      <c r="E6" s="9" t="n">
        <f aca="false">Коллективный!J47</f>
        <v>0.33860708195326</v>
      </c>
      <c r="F6" s="9" t="n">
        <f aca="false">Коллективный!J48</f>
        <v>0.0967927221457648</v>
      </c>
      <c r="G6" s="7" t="n">
        <f aca="false">SUM(C6:F6)</f>
        <v>1</v>
      </c>
    </row>
    <row r="7" customFormat="false" ht="19" hidden="false" customHeight="false" outlineLevel="0" collapsed="false">
      <c r="A7" s="3" t="s">
        <v>77</v>
      </c>
      <c r="B7" s="9" t="n">
        <f aca="false">Коллективный!J11</f>
        <v>0.0870590337365336</v>
      </c>
      <c r="C7" s="9" t="n">
        <f aca="false">Коллективный!J60</f>
        <v>0.157971921218345</v>
      </c>
      <c r="D7" s="9" t="n">
        <f aca="false">Коллективный!J61</f>
        <v>0.44248955695874</v>
      </c>
      <c r="E7" s="9" t="n">
        <f aca="false">Коллективный!J62</f>
        <v>0.314574673601254</v>
      </c>
      <c r="F7" s="9" t="n">
        <f aca="false">Коллективный!J63</f>
        <v>0.0849638482216605</v>
      </c>
      <c r="G7" s="7" t="n">
        <f aca="false">SUM(C7:F7)</f>
        <v>1</v>
      </c>
    </row>
    <row r="8" customFormat="false" ht="19" hidden="false" customHeight="false" outlineLevel="0" collapsed="false">
      <c r="A8" s="3" t="s">
        <v>78</v>
      </c>
      <c r="B8" s="9" t="n">
        <f aca="false">Коллективный!J12</f>
        <v>0.159481834263402</v>
      </c>
      <c r="C8" s="9" t="n">
        <f aca="false">Коллективный!J75</f>
        <v>0.409119771555943</v>
      </c>
      <c r="D8" s="9" t="n">
        <f aca="false">Коллективный!J76</f>
        <v>0.184840722647176</v>
      </c>
      <c r="E8" s="9" t="n">
        <f aca="false">Коллективный!J77</f>
        <v>0.279679863350473</v>
      </c>
      <c r="F8" s="9" t="n">
        <f aca="false">Коллективный!J78</f>
        <v>0.126359642446408</v>
      </c>
      <c r="G8" s="7" t="n">
        <f aca="false">SUM(C8:F8)</f>
        <v>1</v>
      </c>
    </row>
    <row r="9" customFormat="false" ht="19" hidden="false" customHeight="false" outlineLevel="0" collapsed="false">
      <c r="A9" s="3" t="s">
        <v>79</v>
      </c>
      <c r="B9" s="9" t="n">
        <f aca="false">Коллективный!J13</f>
        <v>0.228726142632146</v>
      </c>
      <c r="C9" s="9" t="n">
        <f aca="false">Коллективный!J90</f>
        <v>0.312922528957224</v>
      </c>
      <c r="D9" s="9" t="n">
        <f aca="false">Коллективный!J91</f>
        <v>0.0881931078486348</v>
      </c>
      <c r="E9" s="9" t="n">
        <f aca="false">Коллективный!J92</f>
        <v>0.121230277769891</v>
      </c>
      <c r="F9" s="9" t="n">
        <f aca="false">Коллективный!J93</f>
        <v>0.477654085424251</v>
      </c>
      <c r="G9" s="7" t="n">
        <f aca="false">SUM(C9:F9)</f>
        <v>1</v>
      </c>
    </row>
    <row r="10" customFormat="false" ht="19" hidden="false" customHeight="false" outlineLevel="0" collapsed="false">
      <c r="A10" s="3" t="s">
        <v>80</v>
      </c>
      <c r="B10" s="9" t="n">
        <f aca="false">Коллективный!J14</f>
        <v>0.0882598746449512</v>
      </c>
      <c r="C10" s="9" t="n">
        <f aca="false">Коллективный!J105</f>
        <v>0.312194785958997</v>
      </c>
      <c r="D10" s="9" t="n">
        <f aca="false">Коллективный!J106</f>
        <v>0.0734871098870824</v>
      </c>
      <c r="E10" s="9" t="n">
        <f aca="false">Коллективный!J107</f>
        <v>0.117051027055726</v>
      </c>
      <c r="F10" s="9" t="n">
        <f aca="false">Коллективный!J108</f>
        <v>0.497267077098194</v>
      </c>
      <c r="G10" s="7" t="n">
        <f aca="false">SUM(C10:F10)</f>
        <v>1</v>
      </c>
    </row>
    <row r="11" customFormat="false" ht="19" hidden="false" customHeight="false" outlineLevel="0" collapsed="false">
      <c r="A11" s="3" t="s">
        <v>81</v>
      </c>
      <c r="B11" s="9" t="n">
        <f aca="false">Коллективный!J15</f>
        <v>0.0739976331763866</v>
      </c>
      <c r="C11" s="9" t="n">
        <f aca="false">Коллективный!J120</f>
        <v>0.31657098776582</v>
      </c>
      <c r="D11" s="9" t="n">
        <f aca="false">Коллективный!J121</f>
        <v>0.0770780830451809</v>
      </c>
      <c r="E11" s="9" t="n">
        <f aca="false">Коллективный!J122</f>
        <v>0.10481800858153</v>
      </c>
      <c r="F11" s="9" t="n">
        <f aca="false">Коллективный!J123</f>
        <v>0.501532920607469</v>
      </c>
      <c r="G11" s="7" t="n">
        <f aca="false">SUM(C11:F11)</f>
        <v>1</v>
      </c>
    </row>
    <row r="12" customFormat="false" ht="19" hidden="false" customHeight="false" outlineLevel="0" collapsed="false">
      <c r="A12" s="3" t="s">
        <v>82</v>
      </c>
      <c r="B12" s="7" t="n">
        <f aca="false">SUM(B5:B11)</f>
        <v>1</v>
      </c>
    </row>
    <row r="15" customFormat="false" ht="19" hidden="false" customHeight="false" outlineLevel="0" collapsed="false">
      <c r="A15" s="2" t="s">
        <v>83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27" hidden="false" customHeight="true" outlineLevel="0" collapsed="false">
      <c r="A16" s="6" t="s">
        <v>84</v>
      </c>
      <c r="B16" s="6" t="s">
        <v>85</v>
      </c>
      <c r="C16" s="6" t="s">
        <v>86</v>
      </c>
      <c r="D16" s="6" t="s">
        <v>87</v>
      </c>
      <c r="E16" s="6" t="s">
        <v>88</v>
      </c>
    </row>
    <row r="17" customFormat="false" ht="19" hidden="false" customHeight="false" outlineLevel="0" collapsed="false">
      <c r="A17" s="3" t="s">
        <v>70</v>
      </c>
      <c r="B17" s="9" t="n">
        <f aca="false">$B$5*C5+$B$6*C6+$B$7*C7+$B$8*C8+$B$9*C9+$B$10*C10+$B$11*C11</f>
        <v>0.290913486169817</v>
      </c>
      <c r="C17" s="7" t="n">
        <f aca="false">RANK(B17,$B$17:$B$20,0)</f>
        <v>1</v>
      </c>
      <c r="D17" s="6" t="str">
        <f aca="false">IF(B17&gt;=0,"OK","ПРОВЕРИТЬ")</f>
        <v>OK</v>
      </c>
      <c r="E17" s="3" t="s">
        <v>89</v>
      </c>
    </row>
    <row r="18" customFormat="false" ht="19" hidden="false" customHeight="false" outlineLevel="0" collapsed="false">
      <c r="A18" s="3" t="s">
        <v>71</v>
      </c>
      <c r="B18" s="9" t="n">
        <f aca="false">$B$5*D5+$B$6*D6+$B$7*D7+$B$8*D8+$B$9*D9+$B$10*D10+$B$11*D11</f>
        <v>0.205163389676236</v>
      </c>
      <c r="C18" s="7" t="n">
        <f aca="false">RANK(B18,$B$17:$B$20,0)</f>
        <v>4</v>
      </c>
      <c r="D18" s="6" t="str">
        <f aca="false">IF(B18&gt;=0,"OK","ПРОВЕРИТЬ")</f>
        <v>OK</v>
      </c>
      <c r="E18" s="3" t="s">
        <v>89</v>
      </c>
    </row>
    <row r="19" customFormat="false" ht="19" hidden="false" customHeight="false" outlineLevel="0" collapsed="false">
      <c r="A19" s="3" t="s">
        <v>72</v>
      </c>
      <c r="B19" s="9" t="n">
        <f aca="false">$B$5*E5+$B$6*E6+$B$7*E7+$B$8*E8+$B$9*E9+$B$10*E10+$B$11*E11</f>
        <v>0.251695010685123</v>
      </c>
      <c r="C19" s="7" t="n">
        <f aca="false">RANK(B19,$B$17:$B$20,0)</f>
        <v>3</v>
      </c>
      <c r="D19" s="6" t="str">
        <f aca="false">IF(B19&gt;=0,"OK","ПРОВЕРИТЬ")</f>
        <v>OK</v>
      </c>
      <c r="E19" s="3" t="s">
        <v>89</v>
      </c>
    </row>
    <row r="20" customFormat="false" ht="19" hidden="false" customHeight="false" outlineLevel="0" collapsed="false">
      <c r="A20" s="3" t="s">
        <v>90</v>
      </c>
      <c r="B20" s="9" t="n">
        <f aca="false">$B$5*F5+$B$6*F6+$B$7*F7+$B$8*F8+$B$9*F9+$B$10*F10+$B$11*F11</f>
        <v>0.252228113468824</v>
      </c>
      <c r="C20" s="7" t="n">
        <f aca="false">RANK(B20,$B$17:$B$20,0)</f>
        <v>2</v>
      </c>
      <c r="D20" s="6" t="str">
        <f aca="false">IF(B20&gt;=0,"OK","ПРОВЕРИТЬ")</f>
        <v>OK</v>
      </c>
      <c r="E20" s="3" t="s">
        <v>89</v>
      </c>
    </row>
    <row r="22" customFormat="false" ht="19" hidden="false" customHeight="false" outlineLevel="0" collapsed="false">
      <c r="A22" s="3" t="s">
        <v>91</v>
      </c>
      <c r="B22" s="7" t="n">
        <f aca="false">SUM(B17:B20)</f>
        <v>1</v>
      </c>
    </row>
    <row r="23" customFormat="false" ht="19" hidden="false" customHeight="false" outlineLevel="0" collapsed="false">
      <c r="A23" s="3" t="s">
        <v>92</v>
      </c>
      <c r="B23" s="6" t="str">
        <f aca="false">IF(ABS(B22-1)&lt;0.000001,"OK","ПРОВЕРИТЬ")</f>
        <v>OK</v>
      </c>
    </row>
    <row r="26" customFormat="false" ht="19" hidden="false" customHeight="false" outlineLevel="0" collapsed="false">
      <c r="A26" s="2" t="s">
        <v>93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27" hidden="false" customHeight="true" outlineLevel="0" collapsed="false">
      <c r="A27" s="6" t="s">
        <v>94</v>
      </c>
      <c r="B27" s="6" t="s">
        <v>95</v>
      </c>
      <c r="C27" s="6" t="s">
        <v>96</v>
      </c>
      <c r="D27" s="6" t="s">
        <v>97</v>
      </c>
      <c r="E27" s="6" t="s">
        <v>98</v>
      </c>
    </row>
    <row r="28" customFormat="false" ht="19" hidden="false" customHeight="false" outlineLevel="0" collapsed="false">
      <c r="A28" s="3" t="s">
        <v>99</v>
      </c>
      <c r="B28" s="7" t="n">
        <f aca="false">Редин!I19</f>
        <v>0.00596514677930322</v>
      </c>
      <c r="C28" s="7" t="n">
        <f aca="false">Шатков!I19</f>
        <v>0.00383953434894386</v>
      </c>
      <c r="D28" s="7" t="n">
        <f aca="false">Полищук!I19</f>
        <v>0.00170856631994171</v>
      </c>
      <c r="E28" s="7" t="n">
        <f aca="false">Коллективный!I20</f>
        <v>0.000855571242105637</v>
      </c>
    </row>
    <row r="29" customFormat="false" ht="19" hidden="false" customHeight="false" outlineLevel="0" collapsed="false">
      <c r="A29" s="3" t="s">
        <v>100</v>
      </c>
      <c r="B29" s="7" t="n">
        <f aca="false">Редин!I37</f>
        <v>0.00762751347777603</v>
      </c>
      <c r="C29" s="7" t="n">
        <f aca="false">Шатков!I37</f>
        <v>0.0038356579505793</v>
      </c>
      <c r="D29" s="7" t="n">
        <f aca="false">Полищук!I37</f>
        <v>0.00762751347777603</v>
      </c>
      <c r="E29" s="7" t="n">
        <f aca="false">Коллективный!I38</f>
        <v>0.00296526231024904</v>
      </c>
    </row>
    <row r="30" customFormat="false" ht="19" hidden="false" customHeight="false" outlineLevel="0" collapsed="false">
      <c r="A30" s="3" t="s">
        <v>101</v>
      </c>
      <c r="B30" s="7" t="n">
        <f aca="false">Редин!I52</f>
        <v>0.0038356579505793</v>
      </c>
      <c r="C30" s="7" t="n">
        <f aca="false">Шатков!I52</f>
        <v>0.00762751347777603</v>
      </c>
      <c r="D30" s="7" t="n">
        <f aca="false">Полищук!I52</f>
        <v>0</v>
      </c>
      <c r="E30" s="7" t="n">
        <f aca="false">Коллективный!I53</f>
        <v>0.00247318468645053</v>
      </c>
    </row>
    <row r="31" customFormat="false" ht="19" hidden="false" customHeight="false" outlineLevel="0" collapsed="false">
      <c r="A31" s="3" t="s">
        <v>102</v>
      </c>
      <c r="B31" s="7" t="n">
        <f aca="false">Редин!I67</f>
        <v>0.0189167707352153</v>
      </c>
      <c r="C31" s="7" t="n">
        <f aca="false">Шатков!I67</f>
        <v>0.00762751347777603</v>
      </c>
      <c r="D31" s="7" t="n">
        <f aca="false">Полищук!I67</f>
        <v>0.0114730264566931</v>
      </c>
      <c r="E31" s="7" t="n">
        <f aca="false">Коллективный!I68</f>
        <v>0.0109881743849087</v>
      </c>
    </row>
    <row r="32" customFormat="false" ht="19" hidden="false" customHeight="false" outlineLevel="0" collapsed="false">
      <c r="A32" s="3" t="s">
        <v>103</v>
      </c>
      <c r="B32" s="7" t="n">
        <f aca="false">Редин!I82</f>
        <v>0.0114730264566931</v>
      </c>
      <c r="C32" s="7" t="n">
        <f aca="false">Шатков!I82</f>
        <v>0.0038356579505793</v>
      </c>
      <c r="D32" s="7" t="n">
        <f aca="false">Полищук!I82</f>
        <v>0</v>
      </c>
      <c r="E32" s="7" t="n">
        <f aca="false">Коллективный!I83</f>
        <v>0.00289931606469301</v>
      </c>
    </row>
    <row r="33" customFormat="false" ht="19" hidden="false" customHeight="false" outlineLevel="0" collapsed="false">
      <c r="A33" s="3" t="s">
        <v>104</v>
      </c>
      <c r="B33" s="7" t="n">
        <f aca="false">Редин!I97</f>
        <v>0.00762751347777603</v>
      </c>
      <c r="C33" s="7" t="n">
        <f aca="false">Шатков!I97</f>
        <v>0.0291609015850682</v>
      </c>
      <c r="D33" s="7" t="n">
        <f aca="false">Полищук!I97</f>
        <v>0.0076275134777757</v>
      </c>
      <c r="E33" s="7" t="n">
        <f aca="false">Коллективный!I98</f>
        <v>0.00951306095016788</v>
      </c>
    </row>
    <row r="34" customFormat="false" ht="19" hidden="false" customHeight="false" outlineLevel="0" collapsed="false">
      <c r="A34" s="3" t="s">
        <v>105</v>
      </c>
      <c r="B34" s="7" t="n">
        <f aca="false">Редин!I112</f>
        <v>0.0224200833664484</v>
      </c>
      <c r="C34" s="7" t="n">
        <f aca="false">Шатков!I112</f>
        <v>0.0179103094773949</v>
      </c>
      <c r="D34" s="7" t="n">
        <f aca="false">Полищук!I112</f>
        <v>0.0179103094773949</v>
      </c>
      <c r="E34" s="7" t="n">
        <f aca="false">Коллективный!I113</f>
        <v>0.0193520441070315</v>
      </c>
    </row>
    <row r="35" customFormat="false" ht="19" hidden="false" customHeight="false" outlineLevel="0" collapsed="false">
      <c r="A35" s="3" t="s">
        <v>106</v>
      </c>
      <c r="B35" s="7" t="n">
        <f aca="false">Редин!I127</f>
        <v>0.0102564722879709</v>
      </c>
      <c r="C35" s="7" t="n">
        <f aca="false">Шатков!I127</f>
        <v>0.0224200833664484</v>
      </c>
      <c r="D35" s="7" t="n">
        <f aca="false">Полищук!I127</f>
        <v>0.0179103094773949</v>
      </c>
      <c r="E35" s="7" t="n">
        <f aca="false">Коллективный!I128</f>
        <v>0.0145650005420034</v>
      </c>
    </row>
    <row r="37" customFormat="false" ht="19" hidden="false" customHeight="false" outlineLevel="0" collapsed="false">
      <c r="A37" s="3" t="s">
        <v>107</v>
      </c>
      <c r="B37" s="6" t="str">
        <f aca="false">IF(MAX(B28:E35)&lt;=0.1,"OK","ПРОВЕРИТЬ")</f>
        <v>OK</v>
      </c>
    </row>
    <row r="40" customFormat="false" ht="19" hidden="false" customHeight="false" outlineLevel="0" collapsed="false">
      <c r="A40" s="2" t="s">
        <v>108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customFormat="false" ht="27" hidden="false" customHeight="true" outlineLevel="0" collapsed="false"/>
    <row r="42" customFormat="false" ht="19" hidden="false" customHeight="false" outlineLevel="0" collapsed="false">
      <c r="A42" s="3" t="s">
        <v>109</v>
      </c>
      <c r="B42" s="9" t="str">
        <f aca="false">IF(C17=1,A17,IF(C18=1,A18,IF(C19=1,A19,A20)))</f>
        <v>A1 — Pentest</v>
      </c>
    </row>
    <row r="43" customFormat="false" ht="19" hidden="false" customHeight="false" outlineLevel="0" collapsed="false">
      <c r="A43" s="3" t="s">
        <v>110</v>
      </c>
      <c r="B43" s="9" t="n">
        <f aca="false">MAX(B17:B20)</f>
        <v>0.290913486169817</v>
      </c>
    </row>
    <row r="46" customFormat="false" ht="27" hidden="false" customHeight="true" outlineLevel="0" collapsed="false"/>
  </sheetData>
  <mergeCells count="5">
    <mergeCell ref="A1:L1"/>
    <mergeCell ref="A3:L3"/>
    <mergeCell ref="A15:L15"/>
    <mergeCell ref="A26:L26"/>
    <mergeCell ref="A40:L40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2026-10-19T00:38:48Z</dcterms:modified>
  <cp:revision>1</cp:revision>
  <dc:subject/>
  <dc:title/>
</cp:coreProperties>
</file>